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picc\Desktop\Peptide\"/>
    </mc:Choice>
  </mc:AlternateContent>
  <xr:revisionPtr revIDLastSave="0" documentId="13_ncr:1_{1C543E31-8292-4409-958E-55A9AEDFA4DA}" xr6:coauthVersionLast="47" xr6:coauthVersionMax="47" xr10:uidLastSave="{00000000-0000-0000-0000-000000000000}"/>
  <bookViews>
    <workbookView xWindow="-120" yWindow="-120" windowWidth="25440" windowHeight="15390" tabRatio="926" firstSheet="2" activeTab="5" xr2:uid="{5EFEC6F5-F9B5-7342-B802-3C5E00FC0F28}"/>
  </bookViews>
  <sheets>
    <sheet name="Patient Prices" sheetId="42" r:id="rId1"/>
    <sheet name="Pep Costs" sheetId="1" r:id="rId2"/>
    <sheet name="FAQ" sheetId="4" r:id="rId3"/>
    <sheet name="Whats it for" sheetId="3" r:id="rId4"/>
    <sheet name="COSTS" sheetId="21" r:id="rId5"/>
    <sheet name="GLP-3Re" sheetId="9" r:id="rId6"/>
    <sheet name="BPC+TB500" sheetId="18" r:id="rId7"/>
    <sheet name="Wolv Slow Tit" sheetId="40" r:id="rId8"/>
    <sheet name="Wolv Maintenance" sheetId="41" r:id="rId9"/>
    <sheet name="ARA290" sheetId="44" r:id="rId10"/>
    <sheet name="BPC157" sheetId="45" r:id="rId11"/>
    <sheet name="DSIP 5mg" sheetId="32" r:id="rId12"/>
    <sheet name="DSIP 10mg" sheetId="33" r:id="rId13"/>
    <sheet name="Epithalon" sheetId="46" r:id="rId14"/>
    <sheet name="GHK-CU 50" sheetId="34" r:id="rId15"/>
    <sheet name="Glow 70" sheetId="35" r:id="rId16"/>
    <sheet name="Kissp" sheetId="36" r:id="rId17"/>
    <sheet name="KLOW 80" sheetId="37" r:id="rId18"/>
    <sheet name="MotsC 10" sheetId="43" r:id="rId19"/>
    <sheet name="NAD+ Acute" sheetId="38" r:id="rId20"/>
    <sheet name="NAD semiAct" sheetId="26" r:id="rId21"/>
    <sheet name="PT-141 10mg" sheetId="11" r:id="rId22"/>
    <sheet name="Tesam 10" sheetId="12" r:id="rId23"/>
    <sheet name="Keith Tesa" sheetId="51" r:id="rId24"/>
    <sheet name="Tirz 30mg" sheetId="6" r:id="rId25"/>
    <sheet name="Burkman SLOW" sheetId="52" r:id="rId26"/>
    <sheet name="TRZ DOWN" sheetId="54" r:id="rId27"/>
    <sheet name="NAD 700" sheetId="47" r:id="rId28"/>
    <sheet name="SS-31" sheetId="49" r:id="rId29"/>
    <sheet name="Discount" sheetId="50" r:id="rId30"/>
    <sheet name="Marketing" sheetId="22" r:id="rId31"/>
  </sheets>
  <definedNames>
    <definedName name="_xlnm._FilterDatabase" localSheetId="1" hidden="1">'Pep Costs'!$A$1:$E$58</definedName>
    <definedName name="_xlnm.Print_Area" localSheetId="9">'ARA290'!$A$1:$O$87</definedName>
    <definedName name="_xlnm.Print_Area" localSheetId="6">'BPC+TB500'!$A$1:$O$86</definedName>
    <definedName name="_xlnm.Print_Area" localSheetId="29">Discount!$A$1:$X$53</definedName>
    <definedName name="_xlnm.Print_Area" localSheetId="12">'DSIP 10mg'!$A$1:$O$80</definedName>
    <definedName name="_xlnm.Print_Area" localSheetId="11">'DSIP 5mg'!$A$1:$O$119</definedName>
    <definedName name="_xlnm.Print_Area" localSheetId="14">'GHK-CU 50'!$A$1:$O$80</definedName>
    <definedName name="_xlnm.Print_Area" localSheetId="15">'Glow 70'!$A$1:$O$60</definedName>
    <definedName name="_xlnm.Print_Area" localSheetId="16">Kissp!$A$1:$O$80</definedName>
    <definedName name="_xlnm.Print_Area" localSheetId="17">'KLOW 80'!$A$1:$O$83</definedName>
    <definedName name="_xlnm.Print_Area" localSheetId="18">'MotsC 10'!$A$1:$O$83</definedName>
    <definedName name="_xlnm.Print_Area" localSheetId="20">'NAD semiAct'!$A$1:$P$66</definedName>
    <definedName name="_xlnm.Print_Area" localSheetId="19">'NAD+ Acute'!$A$1:$P$83</definedName>
    <definedName name="_xlnm.Print_Area" localSheetId="1">'Pep Costs'!$A$1:$G$49</definedName>
    <definedName name="_xlnm.Print_Area" localSheetId="21">'PT-141 10mg'!$A$1:$Q$71</definedName>
    <definedName name="_xlnm.Print_Area" localSheetId="22">'Tesam 10'!$A$1:$O$80</definedName>
    <definedName name="_xlnm.Print_Area" localSheetId="24">'Tirz 30mg'!$A$1:$O$84</definedName>
    <definedName name="_xlnm.Print_Area" localSheetId="8">'Wolv Maintenance'!$A$1:$O$37</definedName>
    <definedName name="_xlnm.Print_Area" localSheetId="7">'Wolv Slow Tit'!$A$1:$O$66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1" i="45" l="1"/>
  <c r="J51" i="45"/>
  <c r="E33" i="18"/>
  <c r="F33" i="18" s="1"/>
  <c r="F29" i="9"/>
  <c r="J56" i="12"/>
  <c r="E56" i="12"/>
  <c r="F56" i="12" s="1"/>
  <c r="E55" i="12"/>
  <c r="F55" i="12" s="1"/>
  <c r="E54" i="12"/>
  <c r="F54" i="12" s="1"/>
  <c r="E53" i="12"/>
  <c r="E57" i="12" s="1"/>
  <c r="H53" i="12" s="1"/>
  <c r="K52" i="12"/>
  <c r="J52" i="12"/>
  <c r="J63" i="44"/>
  <c r="K63" i="44"/>
  <c r="K51" i="44"/>
  <c r="J51" i="44"/>
  <c r="J68" i="44"/>
  <c r="E68" i="44"/>
  <c r="F68" i="44" s="1"/>
  <c r="E67" i="44"/>
  <c r="F67" i="44" s="1"/>
  <c r="E66" i="44"/>
  <c r="F66" i="44" s="1"/>
  <c r="E65" i="44"/>
  <c r="K64" i="44"/>
  <c r="J64" i="44"/>
  <c r="J56" i="44"/>
  <c r="E56" i="44"/>
  <c r="F56" i="44" s="1"/>
  <c r="E55" i="44"/>
  <c r="F55" i="44" s="1"/>
  <c r="E54" i="44"/>
  <c r="F54" i="44" s="1"/>
  <c r="E53" i="44"/>
  <c r="E57" i="44" s="1"/>
  <c r="H53" i="44" s="1"/>
  <c r="H55" i="44" s="1"/>
  <c r="K52" i="44"/>
  <c r="J52" i="44"/>
  <c r="J56" i="45"/>
  <c r="E56" i="45"/>
  <c r="F56" i="45" s="1"/>
  <c r="E55" i="45"/>
  <c r="F55" i="45" s="1"/>
  <c r="E54" i="45"/>
  <c r="F54" i="45" s="1"/>
  <c r="F53" i="45"/>
  <c r="F57" i="45" s="1"/>
  <c r="E53" i="45"/>
  <c r="E57" i="45" s="1"/>
  <c r="H53" i="45" s="1"/>
  <c r="H55" i="45" s="1"/>
  <c r="K52" i="45"/>
  <c r="J52" i="45"/>
  <c r="J56" i="49"/>
  <c r="E56" i="49"/>
  <c r="F56" i="49" s="1"/>
  <c r="E55" i="49"/>
  <c r="F55" i="49" s="1"/>
  <c r="E54" i="49"/>
  <c r="F54" i="49" s="1"/>
  <c r="E53" i="49"/>
  <c r="E57" i="49" s="1"/>
  <c r="H53" i="49" s="1"/>
  <c r="K52" i="49"/>
  <c r="J52" i="49"/>
  <c r="J57" i="33"/>
  <c r="E57" i="33"/>
  <c r="F57" i="33" s="1"/>
  <c r="E56" i="33"/>
  <c r="F56" i="33" s="1"/>
  <c r="E55" i="33"/>
  <c r="F55" i="33" s="1"/>
  <c r="E54" i="33"/>
  <c r="F54" i="33" s="1"/>
  <c r="K53" i="33"/>
  <c r="J53" i="33"/>
  <c r="E42" i="11"/>
  <c r="H39" i="11" s="1"/>
  <c r="J41" i="11"/>
  <c r="F38" i="11"/>
  <c r="F42" i="11" s="1"/>
  <c r="S50" i="9"/>
  <c r="E48" i="54"/>
  <c r="F48" i="54" s="1"/>
  <c r="E49" i="54"/>
  <c r="F49" i="54" s="1"/>
  <c r="E50" i="54"/>
  <c r="F50" i="54" s="1"/>
  <c r="E51" i="54"/>
  <c r="F51" i="54" s="1"/>
  <c r="J51" i="54"/>
  <c r="E58" i="54"/>
  <c r="F58" i="54" s="1"/>
  <c r="E59" i="54"/>
  <c r="F59" i="54"/>
  <c r="E60" i="54"/>
  <c r="F60" i="54" s="1"/>
  <c r="E61" i="54"/>
  <c r="F61" i="54" s="1"/>
  <c r="J61" i="54"/>
  <c r="J93" i="54"/>
  <c r="B93" i="54"/>
  <c r="B97" i="54" s="1"/>
  <c r="J41" i="54"/>
  <c r="E41" i="54"/>
  <c r="E40" i="54"/>
  <c r="F40" i="54" s="1"/>
  <c r="E39" i="54"/>
  <c r="F39" i="54" s="1"/>
  <c r="E38" i="54"/>
  <c r="F38" i="54" s="1"/>
  <c r="J31" i="54"/>
  <c r="E31" i="54"/>
  <c r="F31" i="54" s="1"/>
  <c r="E30" i="54"/>
  <c r="F30" i="54" s="1"/>
  <c r="E29" i="54"/>
  <c r="F29" i="54" s="1"/>
  <c r="E28" i="54"/>
  <c r="F28" i="54" s="1"/>
  <c r="J21" i="54"/>
  <c r="E21" i="54"/>
  <c r="F21" i="54" s="1"/>
  <c r="E20" i="54"/>
  <c r="F20" i="54" s="1"/>
  <c r="E19" i="54"/>
  <c r="F19" i="54" s="1"/>
  <c r="E18" i="54"/>
  <c r="F18" i="54" s="1"/>
  <c r="B2" i="54"/>
  <c r="B5" i="54" s="1"/>
  <c r="J91" i="52"/>
  <c r="E91" i="52"/>
  <c r="F91" i="52" s="1"/>
  <c r="E90" i="52"/>
  <c r="F90" i="52" s="1"/>
  <c r="E89" i="52"/>
  <c r="F89" i="52" s="1"/>
  <c r="E88" i="52"/>
  <c r="E92" i="52" s="1"/>
  <c r="J81" i="52"/>
  <c r="E81" i="52"/>
  <c r="F81" i="52" s="1"/>
  <c r="E80" i="52"/>
  <c r="F80" i="52" s="1"/>
  <c r="E79" i="52"/>
  <c r="F79" i="52" s="1"/>
  <c r="E78" i="52"/>
  <c r="J71" i="52"/>
  <c r="E71" i="52"/>
  <c r="F71" i="52" s="1"/>
  <c r="E70" i="52"/>
  <c r="F70" i="52" s="1"/>
  <c r="E69" i="52"/>
  <c r="F69" i="52" s="1"/>
  <c r="E68" i="52"/>
  <c r="F68" i="52" s="1"/>
  <c r="J61" i="52"/>
  <c r="E61" i="52"/>
  <c r="F61" i="52" s="1"/>
  <c r="E60" i="52"/>
  <c r="F60" i="52" s="1"/>
  <c r="E59" i="52"/>
  <c r="F59" i="52" s="1"/>
  <c r="E58" i="52"/>
  <c r="F58" i="52" s="1"/>
  <c r="J123" i="52"/>
  <c r="J127" i="52" s="1"/>
  <c r="B123" i="52"/>
  <c r="B127" i="52" s="1"/>
  <c r="J51" i="52"/>
  <c r="E51" i="52"/>
  <c r="F51" i="52" s="1"/>
  <c r="E50" i="52"/>
  <c r="F50" i="52" s="1"/>
  <c r="E49" i="52"/>
  <c r="E48" i="52"/>
  <c r="F48" i="52" s="1"/>
  <c r="J41" i="52"/>
  <c r="E41" i="52"/>
  <c r="F41" i="52" s="1"/>
  <c r="E40" i="52"/>
  <c r="F40" i="52" s="1"/>
  <c r="E39" i="52"/>
  <c r="F39" i="52" s="1"/>
  <c r="E38" i="52"/>
  <c r="F38" i="52" s="1"/>
  <c r="J31" i="52"/>
  <c r="E31" i="52"/>
  <c r="F31" i="52" s="1"/>
  <c r="E30" i="52"/>
  <c r="F30" i="52" s="1"/>
  <c r="E29" i="52"/>
  <c r="F29" i="52" s="1"/>
  <c r="E28" i="52"/>
  <c r="J21" i="52"/>
  <c r="E21" i="52"/>
  <c r="F21" i="52" s="1"/>
  <c r="E20" i="52"/>
  <c r="F20" i="52" s="1"/>
  <c r="E19" i="52"/>
  <c r="F19" i="52" s="1"/>
  <c r="E18" i="52"/>
  <c r="B2" i="52"/>
  <c r="B5" i="52" s="1"/>
  <c r="Q123" i="9"/>
  <c r="E141" i="9"/>
  <c r="F141" i="9" s="1"/>
  <c r="E142" i="9"/>
  <c r="F142" i="9" s="1"/>
  <c r="E143" i="9"/>
  <c r="F143" i="9" s="1"/>
  <c r="E144" i="9"/>
  <c r="E145" i="9" s="1"/>
  <c r="J144" i="9"/>
  <c r="F58" i="33" l="1"/>
  <c r="K52" i="33" s="1"/>
  <c r="K58" i="33" s="1"/>
  <c r="H55" i="12"/>
  <c r="J55" i="12" s="1"/>
  <c r="J53" i="12"/>
  <c r="F53" i="12"/>
  <c r="F57" i="12" s="1"/>
  <c r="E69" i="44"/>
  <c r="H65" i="44" s="1"/>
  <c r="H67" i="44" s="1"/>
  <c r="F65" i="44"/>
  <c r="F69" i="44" s="1"/>
  <c r="F53" i="44"/>
  <c r="F57" i="44" s="1"/>
  <c r="K57" i="45"/>
  <c r="J57" i="45"/>
  <c r="J58" i="45" s="1"/>
  <c r="H51" i="45"/>
  <c r="F58" i="45"/>
  <c r="H54" i="45" s="1"/>
  <c r="H55" i="49"/>
  <c r="J55" i="49" s="1"/>
  <c r="J53" i="49"/>
  <c r="F53" i="49"/>
  <c r="F57" i="49" s="1"/>
  <c r="J52" i="33"/>
  <c r="J58" i="33" s="1"/>
  <c r="J59" i="33" s="1"/>
  <c r="H52" i="33"/>
  <c r="F59" i="33"/>
  <c r="H55" i="33" s="1"/>
  <c r="E58" i="33"/>
  <c r="H54" i="33" s="1"/>
  <c r="H56" i="33" s="1"/>
  <c r="J38" i="11"/>
  <c r="H38" i="11"/>
  <c r="K43" i="11" s="1"/>
  <c r="K38" i="11"/>
  <c r="H40" i="11"/>
  <c r="J40" i="11" s="1"/>
  <c r="J39" i="11"/>
  <c r="F22" i="52"/>
  <c r="F62" i="54"/>
  <c r="F52" i="54"/>
  <c r="E52" i="54"/>
  <c r="E62" i="54"/>
  <c r="B7" i="54"/>
  <c r="G5" i="54"/>
  <c r="G7" i="54" s="1"/>
  <c r="E32" i="54"/>
  <c r="H30" i="54" s="1"/>
  <c r="J30" i="54" s="1"/>
  <c r="E42" i="54"/>
  <c r="H39" i="54" s="1"/>
  <c r="J39" i="54" s="1"/>
  <c r="F32" i="54"/>
  <c r="F22" i="54"/>
  <c r="B94" i="54"/>
  <c r="B96" i="54"/>
  <c r="E22" i="54"/>
  <c r="H19" i="54" s="1"/>
  <c r="J94" i="54"/>
  <c r="J96" i="54"/>
  <c r="B95" i="54"/>
  <c r="F41" i="54"/>
  <c r="F42" i="54" s="1"/>
  <c r="J95" i="54"/>
  <c r="J97" i="54"/>
  <c r="E82" i="52"/>
  <c r="F72" i="52"/>
  <c r="F73" i="52" s="1"/>
  <c r="H90" i="52"/>
  <c r="J90" i="52" s="1"/>
  <c r="H89" i="52"/>
  <c r="J89" i="52" s="1"/>
  <c r="F88" i="52"/>
  <c r="F92" i="52" s="1"/>
  <c r="E72" i="52"/>
  <c r="H69" i="52" s="1"/>
  <c r="J69" i="52" s="1"/>
  <c r="F78" i="52"/>
  <c r="F82" i="52" s="1"/>
  <c r="H80" i="52"/>
  <c r="J80" i="52" s="1"/>
  <c r="H79" i="52"/>
  <c r="J79" i="52" s="1"/>
  <c r="F62" i="52"/>
  <c r="E62" i="52"/>
  <c r="E42" i="52"/>
  <c r="H40" i="52" s="1"/>
  <c r="J40" i="52" s="1"/>
  <c r="E32" i="52"/>
  <c r="H29" i="52" s="1"/>
  <c r="J29" i="52" s="1"/>
  <c r="F28" i="52"/>
  <c r="F32" i="52" s="1"/>
  <c r="H28" i="52" s="1"/>
  <c r="K33" i="52" s="1"/>
  <c r="E22" i="52"/>
  <c r="H19" i="52" s="1"/>
  <c r="H20" i="52" s="1"/>
  <c r="J20" i="52" s="1"/>
  <c r="F42" i="52"/>
  <c r="E52" i="52"/>
  <c r="H49" i="52" s="1"/>
  <c r="J49" i="52" s="1"/>
  <c r="B7" i="52"/>
  <c r="G5" i="52"/>
  <c r="G7" i="52" s="1"/>
  <c r="B124" i="52"/>
  <c r="B126" i="52"/>
  <c r="F18" i="52"/>
  <c r="F49" i="52"/>
  <c r="F52" i="52" s="1"/>
  <c r="J125" i="52"/>
  <c r="J124" i="52"/>
  <c r="J126" i="52"/>
  <c r="B125" i="52"/>
  <c r="F144" i="9"/>
  <c r="F145" i="9"/>
  <c r="H141" i="9" s="1"/>
  <c r="K146" i="9" s="1"/>
  <c r="H142" i="9"/>
  <c r="J142" i="9" s="1"/>
  <c r="H143" i="9"/>
  <c r="J143" i="9" s="1"/>
  <c r="P15" i="9"/>
  <c r="H51" i="12" l="1"/>
  <c r="F58" i="12"/>
  <c r="H54" i="12" s="1"/>
  <c r="J54" i="12" s="1"/>
  <c r="F70" i="44"/>
  <c r="H66" i="44" s="1"/>
  <c r="J69" i="44"/>
  <c r="J70" i="44" s="1"/>
  <c r="H63" i="44"/>
  <c r="F58" i="44"/>
  <c r="H54" i="44" s="1"/>
  <c r="H51" i="44"/>
  <c r="J57" i="44"/>
  <c r="J58" i="44" s="1"/>
  <c r="N57" i="45"/>
  <c r="K58" i="45"/>
  <c r="F58" i="49"/>
  <c r="H54" i="49" s="1"/>
  <c r="J54" i="49" s="1"/>
  <c r="H51" i="49"/>
  <c r="N59" i="33"/>
  <c r="K59" i="33"/>
  <c r="J42" i="11"/>
  <c r="H60" i="54"/>
  <c r="J60" i="54" s="1"/>
  <c r="H59" i="54"/>
  <c r="J59" i="54" s="1"/>
  <c r="H49" i="54"/>
  <c r="J49" i="54" s="1"/>
  <c r="H50" i="54"/>
  <c r="J50" i="54" s="1"/>
  <c r="J28" i="54"/>
  <c r="H48" i="54"/>
  <c r="K53" i="54" s="1"/>
  <c r="J48" i="54"/>
  <c r="K48" i="54"/>
  <c r="F53" i="54"/>
  <c r="F73" i="54"/>
  <c r="F75" i="54" s="1"/>
  <c r="F76" i="54" s="1"/>
  <c r="F77" i="54" s="1"/>
  <c r="F79" i="54" s="1"/>
  <c r="H58" i="54"/>
  <c r="K63" i="54" s="1"/>
  <c r="J58" i="54"/>
  <c r="K58" i="54"/>
  <c r="F63" i="54"/>
  <c r="K28" i="54"/>
  <c r="H28" i="54"/>
  <c r="K33" i="54" s="1"/>
  <c r="H29" i="54"/>
  <c r="J29" i="54" s="1"/>
  <c r="J32" i="54" s="1"/>
  <c r="H40" i="54"/>
  <c r="J40" i="54" s="1"/>
  <c r="K38" i="54"/>
  <c r="H38" i="54"/>
  <c r="K43" i="54" s="1"/>
  <c r="F43" i="54"/>
  <c r="J38" i="54"/>
  <c r="H20" i="54"/>
  <c r="J20" i="54" s="1"/>
  <c r="J19" i="54"/>
  <c r="K18" i="54"/>
  <c r="H18" i="54"/>
  <c r="K23" i="54" s="1"/>
  <c r="J18" i="54"/>
  <c r="J88" i="52"/>
  <c r="J92" i="52" s="1"/>
  <c r="K88" i="52"/>
  <c r="J68" i="52"/>
  <c r="H68" i="52"/>
  <c r="K73" i="52" s="1"/>
  <c r="K68" i="52"/>
  <c r="H88" i="52"/>
  <c r="K93" i="52" s="1"/>
  <c r="F93" i="52"/>
  <c r="K78" i="52"/>
  <c r="J78" i="52"/>
  <c r="J82" i="52" s="1"/>
  <c r="J58" i="52"/>
  <c r="K58" i="52"/>
  <c r="H70" i="52"/>
  <c r="J70" i="52" s="1"/>
  <c r="H39" i="52"/>
  <c r="J39" i="52" s="1"/>
  <c r="F83" i="52"/>
  <c r="H78" i="52"/>
  <c r="K83" i="52" s="1"/>
  <c r="H59" i="52"/>
  <c r="J59" i="52" s="1"/>
  <c r="H60" i="52"/>
  <c r="J60" i="52" s="1"/>
  <c r="F63" i="52"/>
  <c r="H58" i="52"/>
  <c r="K63" i="52" s="1"/>
  <c r="K38" i="52"/>
  <c r="H30" i="52"/>
  <c r="J30" i="52" s="1"/>
  <c r="F43" i="52"/>
  <c r="H38" i="52"/>
  <c r="K43" i="52" s="1"/>
  <c r="J19" i="52"/>
  <c r="K28" i="52"/>
  <c r="H50" i="52"/>
  <c r="J50" i="52" s="1"/>
  <c r="K48" i="52"/>
  <c r="J48" i="52"/>
  <c r="H48" i="52"/>
  <c r="K53" i="52" s="1"/>
  <c r="F103" i="52"/>
  <c r="F105" i="52" s="1"/>
  <c r="F106" i="52" s="1"/>
  <c r="F107" i="52" s="1"/>
  <c r="F109" i="52" s="1"/>
  <c r="F53" i="52"/>
  <c r="H18" i="52"/>
  <c r="K23" i="52" s="1"/>
  <c r="K18" i="52"/>
  <c r="J38" i="52"/>
  <c r="J28" i="52"/>
  <c r="J18" i="52"/>
  <c r="J22" i="52" s="1"/>
  <c r="F146" i="9"/>
  <c r="P60" i="9"/>
  <c r="E44" i="51"/>
  <c r="J43" i="51"/>
  <c r="F43" i="51"/>
  <c r="O42" i="51"/>
  <c r="F42" i="51"/>
  <c r="O41" i="51"/>
  <c r="F41" i="51"/>
  <c r="O40" i="51"/>
  <c r="H40" i="51"/>
  <c r="J40" i="51" s="1"/>
  <c r="F40" i="51"/>
  <c r="O39" i="51"/>
  <c r="K39" i="51"/>
  <c r="J39" i="51"/>
  <c r="B2" i="9"/>
  <c r="J134" i="9"/>
  <c r="E134" i="9"/>
  <c r="F134" i="9" s="1"/>
  <c r="E133" i="9"/>
  <c r="F133" i="9" s="1"/>
  <c r="E132" i="9"/>
  <c r="F132" i="9" s="1"/>
  <c r="E131" i="9"/>
  <c r="J124" i="9"/>
  <c r="E124" i="9"/>
  <c r="F124" i="9" s="1"/>
  <c r="E123" i="9"/>
  <c r="F123" i="9" s="1"/>
  <c r="E122" i="9"/>
  <c r="F122" i="9" s="1"/>
  <c r="E121" i="9"/>
  <c r="F121" i="9" s="1"/>
  <c r="J114" i="9"/>
  <c r="E114" i="9"/>
  <c r="F114" i="9" s="1"/>
  <c r="E113" i="9"/>
  <c r="E112" i="9"/>
  <c r="F112" i="9" s="1"/>
  <c r="E111" i="9"/>
  <c r="F111" i="9" s="1"/>
  <c r="J104" i="9"/>
  <c r="E104" i="9"/>
  <c r="F104" i="9" s="1"/>
  <c r="E103" i="9"/>
  <c r="F103" i="9" s="1"/>
  <c r="E102" i="9"/>
  <c r="F102" i="9" s="1"/>
  <c r="E101" i="9"/>
  <c r="F101" i="9" s="1"/>
  <c r="J94" i="9"/>
  <c r="E94" i="9"/>
  <c r="F94" i="9" s="1"/>
  <c r="E93" i="9"/>
  <c r="F93" i="9" s="1"/>
  <c r="E92" i="9"/>
  <c r="F92" i="9" s="1"/>
  <c r="E91" i="9"/>
  <c r="F91" i="9" s="1"/>
  <c r="J84" i="9"/>
  <c r="E84" i="9"/>
  <c r="F84" i="9" s="1"/>
  <c r="E83" i="9"/>
  <c r="F83" i="9" s="1"/>
  <c r="E82" i="9"/>
  <c r="F82" i="9" s="1"/>
  <c r="E81" i="9"/>
  <c r="J74" i="9"/>
  <c r="E74" i="9"/>
  <c r="F74" i="9" s="1"/>
  <c r="E73" i="9"/>
  <c r="F73" i="9" s="1"/>
  <c r="E72" i="9"/>
  <c r="F72" i="9" s="1"/>
  <c r="E71" i="9"/>
  <c r="J21" i="32"/>
  <c r="O30" i="51"/>
  <c r="O31" i="51"/>
  <c r="O29" i="51"/>
  <c r="O28" i="51"/>
  <c r="J32" i="51"/>
  <c r="F32" i="51"/>
  <c r="F31" i="51"/>
  <c r="F30" i="51"/>
  <c r="F29" i="51"/>
  <c r="K28" i="51"/>
  <c r="J28" i="51"/>
  <c r="J19" i="51"/>
  <c r="F19" i="51"/>
  <c r="F18" i="51"/>
  <c r="F17" i="51"/>
  <c r="E20" i="51"/>
  <c r="H16" i="51" s="1"/>
  <c r="K15" i="51"/>
  <c r="J15" i="51"/>
  <c r="B2" i="51"/>
  <c r="B5" i="51" s="1"/>
  <c r="V32" i="50"/>
  <c r="V35" i="50" s="1"/>
  <c r="R32" i="50"/>
  <c r="R36" i="50" s="1"/>
  <c r="J32" i="50"/>
  <c r="L32" i="50" s="1"/>
  <c r="F32" i="50"/>
  <c r="F33" i="50" s="1"/>
  <c r="V23" i="50"/>
  <c r="V25" i="50" s="1"/>
  <c r="R23" i="50"/>
  <c r="R24" i="50" s="1"/>
  <c r="F23" i="50"/>
  <c r="H23" i="50" s="1"/>
  <c r="F14" i="50"/>
  <c r="F18" i="50" s="1"/>
  <c r="B14" i="50"/>
  <c r="B16" i="50" s="1"/>
  <c r="R5" i="50"/>
  <c r="R7" i="50" s="1"/>
  <c r="N5" i="50"/>
  <c r="N7" i="50" s="1"/>
  <c r="J5" i="50"/>
  <c r="J8" i="50" s="1"/>
  <c r="B5" i="50"/>
  <c r="B9" i="50" s="1"/>
  <c r="V36" i="50"/>
  <c r="W33" i="50"/>
  <c r="W34" i="50" s="1"/>
  <c r="W35" i="50" s="1"/>
  <c r="S33" i="50"/>
  <c r="S34" i="50" s="1"/>
  <c r="S35" i="50" s="1"/>
  <c r="S36" i="50" s="1"/>
  <c r="K33" i="50"/>
  <c r="K34" i="50" s="1"/>
  <c r="K35" i="50" s="1"/>
  <c r="K36" i="50" s="1"/>
  <c r="G33" i="50"/>
  <c r="G34" i="50" s="1"/>
  <c r="C33" i="50"/>
  <c r="C34" i="50" s="1"/>
  <c r="C35" i="50" s="1"/>
  <c r="X32" i="50"/>
  <c r="R25" i="50"/>
  <c r="W24" i="50"/>
  <c r="W25" i="50" s="1"/>
  <c r="W26" i="50" s="1"/>
  <c r="S24" i="50"/>
  <c r="S25" i="50" s="1"/>
  <c r="S26" i="50" s="1"/>
  <c r="S27" i="50" s="1"/>
  <c r="O24" i="50"/>
  <c r="O25" i="50" s="1"/>
  <c r="O26" i="50" s="1"/>
  <c r="O27" i="50" s="1"/>
  <c r="K24" i="50"/>
  <c r="K25" i="50" s="1"/>
  <c r="K26" i="50" s="1"/>
  <c r="K27" i="50" s="1"/>
  <c r="G24" i="50"/>
  <c r="G25" i="50" s="1"/>
  <c r="G26" i="50" s="1"/>
  <c r="C24" i="50"/>
  <c r="C25" i="50" s="1"/>
  <c r="C26" i="50" s="1"/>
  <c r="C27" i="50" s="1"/>
  <c r="K15" i="50"/>
  <c r="K16" i="50" s="1"/>
  <c r="K17" i="50" s="1"/>
  <c r="K18" i="50" s="1"/>
  <c r="G15" i="50"/>
  <c r="G16" i="50" s="1"/>
  <c r="G17" i="50" s="1"/>
  <c r="C15" i="50"/>
  <c r="C16" i="50" s="1"/>
  <c r="C17" i="50" s="1"/>
  <c r="C18" i="50" s="1"/>
  <c r="B8" i="50"/>
  <c r="B7" i="50"/>
  <c r="S6" i="50"/>
  <c r="S7" i="50" s="1"/>
  <c r="S8" i="50" s="1"/>
  <c r="S9" i="50" s="1"/>
  <c r="O6" i="50"/>
  <c r="O7" i="50" s="1"/>
  <c r="O8" i="50" s="1"/>
  <c r="O9" i="50" s="1"/>
  <c r="N6" i="50"/>
  <c r="P6" i="50" s="1"/>
  <c r="K6" i="50"/>
  <c r="K7" i="50" s="1"/>
  <c r="K8" i="50" s="1"/>
  <c r="K9" i="50" s="1"/>
  <c r="G6" i="50"/>
  <c r="G7" i="50" s="1"/>
  <c r="G8" i="50" s="1"/>
  <c r="C6" i="50"/>
  <c r="C7" i="50" s="1"/>
  <c r="C8" i="50" s="1"/>
  <c r="C9" i="50" s="1"/>
  <c r="B6" i="50"/>
  <c r="D5" i="50"/>
  <c r="I67" i="46"/>
  <c r="J67" i="46" s="1"/>
  <c r="H67" i="46"/>
  <c r="I68" i="46"/>
  <c r="I69" i="46" s="1"/>
  <c r="I70" i="46" s="1"/>
  <c r="I71" i="46" s="1"/>
  <c r="K97" i="6"/>
  <c r="J97" i="6"/>
  <c r="L97" i="6" s="1"/>
  <c r="K98" i="6"/>
  <c r="K99" i="6" s="1"/>
  <c r="K100" i="6" s="1"/>
  <c r="K101" i="6" s="1"/>
  <c r="K78" i="26"/>
  <c r="L78" i="26" s="1"/>
  <c r="J78" i="26"/>
  <c r="J80" i="26"/>
  <c r="K79" i="26"/>
  <c r="J79" i="26"/>
  <c r="J93" i="38"/>
  <c r="J94" i="38" s="1"/>
  <c r="J95" i="38" s="1"/>
  <c r="J96" i="38" s="1"/>
  <c r="J97" i="38" s="1"/>
  <c r="I93" i="38"/>
  <c r="K93" i="38"/>
  <c r="J95" i="43"/>
  <c r="J96" i="43" s="1"/>
  <c r="J97" i="43" s="1"/>
  <c r="J98" i="43" s="1"/>
  <c r="J99" i="43" s="1"/>
  <c r="I95" i="43"/>
  <c r="I98" i="43" s="1"/>
  <c r="I91" i="36"/>
  <c r="H91" i="36"/>
  <c r="H95" i="36" s="1"/>
  <c r="I92" i="36"/>
  <c r="I93" i="36" s="1"/>
  <c r="I94" i="36" s="1"/>
  <c r="I95" i="36" s="1"/>
  <c r="I71" i="35"/>
  <c r="H71" i="35"/>
  <c r="H74" i="35" s="1"/>
  <c r="I72" i="35"/>
  <c r="I73" i="35" s="1"/>
  <c r="I74" i="35" s="1"/>
  <c r="I75" i="35" s="1"/>
  <c r="I91" i="34"/>
  <c r="H91" i="34"/>
  <c r="I92" i="34"/>
  <c r="I93" i="34" s="1"/>
  <c r="I94" i="34" s="1"/>
  <c r="I95" i="34" s="1"/>
  <c r="J91" i="34"/>
  <c r="J130" i="32"/>
  <c r="I130" i="32"/>
  <c r="I131" i="32"/>
  <c r="H130" i="32"/>
  <c r="H132" i="32" s="1"/>
  <c r="H131" i="32"/>
  <c r="I48" i="41"/>
  <c r="H48" i="41"/>
  <c r="I49" i="41"/>
  <c r="I50" i="41" s="1"/>
  <c r="I51" i="41" s="1"/>
  <c r="I52" i="41" s="1"/>
  <c r="H51" i="41"/>
  <c r="J51" i="41" s="1"/>
  <c r="H80" i="40"/>
  <c r="I77" i="40"/>
  <c r="I78" i="40" s="1"/>
  <c r="I79" i="40" s="1"/>
  <c r="I80" i="40" s="1"/>
  <c r="I81" i="40" s="1"/>
  <c r="H77" i="40"/>
  <c r="H79" i="40" s="1"/>
  <c r="J79" i="40" s="1"/>
  <c r="I178" i="9"/>
  <c r="I177" i="9"/>
  <c r="I176" i="9"/>
  <c r="I175" i="9"/>
  <c r="C78" i="26"/>
  <c r="C79" i="26" s="1"/>
  <c r="C80" i="26" s="1"/>
  <c r="C81" i="26" s="1"/>
  <c r="C82" i="26" s="1"/>
  <c r="B78" i="26"/>
  <c r="B81" i="26" s="1"/>
  <c r="C48" i="41"/>
  <c r="C49" i="41" s="1"/>
  <c r="C50" i="41" s="1"/>
  <c r="C51" i="41" s="1"/>
  <c r="C52" i="41" s="1"/>
  <c r="B48" i="41"/>
  <c r="B51" i="41" s="1"/>
  <c r="B77" i="40"/>
  <c r="B80" i="40"/>
  <c r="B79" i="40"/>
  <c r="B78" i="40"/>
  <c r="C77" i="40"/>
  <c r="D77" i="40" s="1"/>
  <c r="B81" i="40"/>
  <c r="C67" i="46"/>
  <c r="C68" i="46" s="1"/>
  <c r="C69" i="46" s="1"/>
  <c r="C70" i="46" s="1"/>
  <c r="C71" i="46" s="1"/>
  <c r="C97" i="6"/>
  <c r="C98" i="6" s="1"/>
  <c r="C99" i="6" s="1"/>
  <c r="C100" i="6" s="1"/>
  <c r="C101" i="6" s="1"/>
  <c r="B97" i="6"/>
  <c r="D97" i="6" s="1"/>
  <c r="C93" i="38"/>
  <c r="C94" i="38" s="1"/>
  <c r="C95" i="38" s="1"/>
  <c r="C96" i="38" s="1"/>
  <c r="C97" i="38" s="1"/>
  <c r="B93" i="38"/>
  <c r="B96" i="38"/>
  <c r="C94" i="37"/>
  <c r="C95" i="37" s="1"/>
  <c r="C96" i="37" s="1"/>
  <c r="C97" i="37" s="1"/>
  <c r="C98" i="37" s="1"/>
  <c r="B94" i="37"/>
  <c r="B96" i="37"/>
  <c r="B95" i="37"/>
  <c r="C91" i="36"/>
  <c r="C92" i="36" s="1"/>
  <c r="C93" i="36" s="1"/>
  <c r="C94" i="36" s="1"/>
  <c r="C95" i="36" s="1"/>
  <c r="B91" i="36"/>
  <c r="B92" i="36"/>
  <c r="C71" i="35"/>
  <c r="C72" i="35" s="1"/>
  <c r="C73" i="35" s="1"/>
  <c r="C74" i="35" s="1"/>
  <c r="C75" i="35" s="1"/>
  <c r="B71" i="35"/>
  <c r="B74" i="35" s="1"/>
  <c r="C91" i="34"/>
  <c r="C92" i="34" s="1"/>
  <c r="C93" i="34" s="1"/>
  <c r="C94" i="34" s="1"/>
  <c r="C95" i="34" s="1"/>
  <c r="B91" i="34"/>
  <c r="C130" i="32"/>
  <c r="C131" i="32" s="1"/>
  <c r="C132" i="32" s="1"/>
  <c r="C133" i="32" s="1"/>
  <c r="C134" i="32" s="1"/>
  <c r="B130" i="32"/>
  <c r="B178" i="9"/>
  <c r="B177" i="9"/>
  <c r="B176" i="9"/>
  <c r="B175" i="9"/>
  <c r="F116" i="32"/>
  <c r="K98" i="32"/>
  <c r="J98" i="32"/>
  <c r="K86" i="32"/>
  <c r="J86" i="32"/>
  <c r="K74" i="32"/>
  <c r="J74" i="32"/>
  <c r="K62" i="32"/>
  <c r="J62" i="32"/>
  <c r="J66" i="44" l="1"/>
  <c r="K66" i="44"/>
  <c r="K69" i="44" s="1"/>
  <c r="K54" i="44"/>
  <c r="K57" i="44" s="1"/>
  <c r="J54" i="44"/>
  <c r="J43" i="11"/>
  <c r="N42" i="11"/>
  <c r="J62" i="54"/>
  <c r="J63" i="54" s="1"/>
  <c r="N62" i="54"/>
  <c r="J52" i="54"/>
  <c r="J42" i="54"/>
  <c r="J43" i="54" s="1"/>
  <c r="J22" i="54"/>
  <c r="K93" i="54" s="1"/>
  <c r="C93" i="54"/>
  <c r="J33" i="54"/>
  <c r="N32" i="54"/>
  <c r="J72" i="52"/>
  <c r="J62" i="52"/>
  <c r="J63" i="52" s="1"/>
  <c r="J93" i="52"/>
  <c r="N92" i="52"/>
  <c r="N72" i="52"/>
  <c r="J73" i="52"/>
  <c r="J42" i="52"/>
  <c r="J43" i="52" s="1"/>
  <c r="J83" i="52"/>
  <c r="N82" i="52"/>
  <c r="J32" i="52"/>
  <c r="J33" i="52" s="1"/>
  <c r="J52" i="52"/>
  <c r="C123" i="52" s="1"/>
  <c r="J23" i="52"/>
  <c r="K123" i="52"/>
  <c r="N22" i="52"/>
  <c r="F44" i="51"/>
  <c r="K38" i="51" s="1"/>
  <c r="H42" i="51"/>
  <c r="J42" i="51" s="1"/>
  <c r="E135" i="9"/>
  <c r="H133" i="9" s="1"/>
  <c r="J133" i="9" s="1"/>
  <c r="F131" i="9"/>
  <c r="F135" i="9" s="1"/>
  <c r="F125" i="9"/>
  <c r="E125" i="9"/>
  <c r="E115" i="9"/>
  <c r="H112" i="9" s="1"/>
  <c r="J112" i="9" s="1"/>
  <c r="F113" i="9"/>
  <c r="F115" i="9" s="1"/>
  <c r="F105" i="9"/>
  <c r="E105" i="9"/>
  <c r="E75" i="9"/>
  <c r="H73" i="9" s="1"/>
  <c r="J73" i="9" s="1"/>
  <c r="E85" i="9"/>
  <c r="H82" i="9" s="1"/>
  <c r="J82" i="9" s="1"/>
  <c r="F81" i="9"/>
  <c r="F85" i="9" s="1"/>
  <c r="F95" i="9"/>
  <c r="E95" i="9"/>
  <c r="F71" i="9"/>
  <c r="F75" i="9" s="1"/>
  <c r="F33" i="51"/>
  <c r="J16" i="51"/>
  <c r="H18" i="51"/>
  <c r="J18" i="51" s="1"/>
  <c r="G5" i="51"/>
  <c r="G7" i="51" s="1"/>
  <c r="B7" i="51"/>
  <c r="F62" i="51"/>
  <c r="F64" i="51" s="1"/>
  <c r="F65" i="51" s="1"/>
  <c r="F66" i="51" s="1"/>
  <c r="F68" i="51" s="1"/>
  <c r="E33" i="51"/>
  <c r="H29" i="51" s="1"/>
  <c r="F16" i="51"/>
  <c r="F20" i="51" s="1"/>
  <c r="V33" i="50"/>
  <c r="L5" i="50"/>
  <c r="N9" i="50"/>
  <c r="V34" i="50"/>
  <c r="X34" i="50" s="1"/>
  <c r="H33" i="50"/>
  <c r="T7" i="50"/>
  <c r="F27" i="50"/>
  <c r="R35" i="50"/>
  <c r="T35" i="50" s="1"/>
  <c r="D8" i="50"/>
  <c r="D6" i="50"/>
  <c r="R34" i="50"/>
  <c r="T34" i="50" s="1"/>
  <c r="R8" i="50"/>
  <c r="T8" i="50" s="1"/>
  <c r="T32" i="50"/>
  <c r="F35" i="50"/>
  <c r="D14" i="50"/>
  <c r="F25" i="50"/>
  <c r="H25" i="50" s="1"/>
  <c r="T24" i="50"/>
  <c r="T5" i="50"/>
  <c r="P7" i="50"/>
  <c r="D16" i="50"/>
  <c r="N8" i="50"/>
  <c r="T36" i="50"/>
  <c r="R33" i="50"/>
  <c r="T33" i="50" s="1"/>
  <c r="J33" i="50"/>
  <c r="L33" i="50" s="1"/>
  <c r="J35" i="50"/>
  <c r="L35" i="50" s="1"/>
  <c r="J36" i="50"/>
  <c r="L36" i="50" s="1"/>
  <c r="J34" i="50"/>
  <c r="L34" i="50" s="1"/>
  <c r="H32" i="50"/>
  <c r="F36" i="50"/>
  <c r="F34" i="50"/>
  <c r="H34" i="50" s="1"/>
  <c r="V24" i="50"/>
  <c r="X24" i="50" s="1"/>
  <c r="X23" i="50"/>
  <c r="R26" i="50"/>
  <c r="R27" i="50"/>
  <c r="T27" i="50" s="1"/>
  <c r="T23" i="50"/>
  <c r="F24" i="50"/>
  <c r="H24" i="50" s="1"/>
  <c r="F26" i="50"/>
  <c r="H26" i="50" s="1"/>
  <c r="F16" i="50"/>
  <c r="H16" i="50" s="1"/>
  <c r="F17" i="50"/>
  <c r="H17" i="50" s="1"/>
  <c r="F15" i="50"/>
  <c r="H15" i="50" s="1"/>
  <c r="H14" i="50"/>
  <c r="B17" i="50"/>
  <c r="D17" i="50" s="1"/>
  <c r="B15" i="50"/>
  <c r="D15" i="50" s="1"/>
  <c r="B18" i="50"/>
  <c r="D18" i="50" s="1"/>
  <c r="R6" i="50"/>
  <c r="T6" i="50" s="1"/>
  <c r="R9" i="50"/>
  <c r="T9" i="50" s="1"/>
  <c r="P5" i="50"/>
  <c r="J7" i="50"/>
  <c r="L7" i="50" s="1"/>
  <c r="J9" i="50"/>
  <c r="L9" i="50" s="1"/>
  <c r="J6" i="50"/>
  <c r="L6" i="50" s="1"/>
  <c r="D9" i="50"/>
  <c r="G27" i="50"/>
  <c r="P8" i="50"/>
  <c r="D7" i="50"/>
  <c r="G18" i="50"/>
  <c r="H18" i="50" s="1"/>
  <c r="T25" i="50"/>
  <c r="X25" i="50"/>
  <c r="W36" i="50"/>
  <c r="X35" i="50"/>
  <c r="P9" i="50"/>
  <c r="G9" i="50"/>
  <c r="X26" i="50"/>
  <c r="W27" i="50"/>
  <c r="X27" i="50" s="1"/>
  <c r="T26" i="50"/>
  <c r="C36" i="50"/>
  <c r="G35" i="50"/>
  <c r="G36" i="50" s="1"/>
  <c r="X36" i="50"/>
  <c r="L8" i="50"/>
  <c r="X33" i="50"/>
  <c r="H68" i="46"/>
  <c r="J68" i="46" s="1"/>
  <c r="H69" i="46"/>
  <c r="J69" i="46" s="1"/>
  <c r="H70" i="46"/>
  <c r="J70" i="46" s="1"/>
  <c r="H71" i="46"/>
  <c r="J71" i="46" s="1"/>
  <c r="J98" i="6"/>
  <c r="L98" i="6" s="1"/>
  <c r="J99" i="6"/>
  <c r="L99" i="6" s="1"/>
  <c r="J100" i="6"/>
  <c r="L100" i="6" s="1"/>
  <c r="J101" i="6"/>
  <c r="L101" i="6" s="1"/>
  <c r="L79" i="26"/>
  <c r="K80" i="26"/>
  <c r="K81" i="26" s="1"/>
  <c r="K82" i="26" s="1"/>
  <c r="J81" i="26"/>
  <c r="J82" i="26"/>
  <c r="I94" i="38"/>
  <c r="K94" i="38" s="1"/>
  <c r="I95" i="38"/>
  <c r="K95" i="38" s="1"/>
  <c r="I96" i="38"/>
  <c r="K96" i="38" s="1"/>
  <c r="I97" i="38"/>
  <c r="K97" i="38" s="1"/>
  <c r="K98" i="43"/>
  <c r="K95" i="43"/>
  <c r="I96" i="43"/>
  <c r="K96" i="43" s="1"/>
  <c r="I99" i="43"/>
  <c r="K99" i="43" s="1"/>
  <c r="I97" i="43"/>
  <c r="K97" i="43" s="1"/>
  <c r="J95" i="36"/>
  <c r="J91" i="36"/>
  <c r="H92" i="36"/>
  <c r="J92" i="36" s="1"/>
  <c r="H93" i="36"/>
  <c r="J93" i="36" s="1"/>
  <c r="H94" i="36"/>
  <c r="J94" i="36" s="1"/>
  <c r="J74" i="35"/>
  <c r="J71" i="35"/>
  <c r="H72" i="35"/>
  <c r="J72" i="35" s="1"/>
  <c r="H73" i="35"/>
  <c r="J73" i="35" s="1"/>
  <c r="H75" i="35"/>
  <c r="J75" i="35" s="1"/>
  <c r="H92" i="34"/>
  <c r="J92" i="34" s="1"/>
  <c r="H93" i="34"/>
  <c r="J93" i="34" s="1"/>
  <c r="H94" i="34"/>
  <c r="J94" i="34" s="1"/>
  <c r="H95" i="34"/>
  <c r="J95" i="34" s="1"/>
  <c r="H134" i="32"/>
  <c r="I132" i="32"/>
  <c r="I133" i="32" s="1"/>
  <c r="I134" i="32" s="1"/>
  <c r="J134" i="32" s="1"/>
  <c r="J131" i="32"/>
  <c r="H133" i="32"/>
  <c r="J48" i="41"/>
  <c r="H49" i="41"/>
  <c r="J49" i="41" s="1"/>
  <c r="H52" i="41"/>
  <c r="J52" i="41" s="1"/>
  <c r="H50" i="41"/>
  <c r="J50" i="41" s="1"/>
  <c r="J80" i="40"/>
  <c r="H81" i="40"/>
  <c r="J81" i="40" s="1"/>
  <c r="J77" i="40"/>
  <c r="H78" i="40"/>
  <c r="J78" i="40" s="1"/>
  <c r="D81" i="26"/>
  <c r="D78" i="26"/>
  <c r="B79" i="26"/>
  <c r="D79" i="26" s="1"/>
  <c r="B82" i="26"/>
  <c r="D82" i="26" s="1"/>
  <c r="B80" i="26"/>
  <c r="D80" i="26" s="1"/>
  <c r="D51" i="41"/>
  <c r="B52" i="41"/>
  <c r="D52" i="41" s="1"/>
  <c r="D48" i="41"/>
  <c r="B49" i="41"/>
  <c r="D49" i="41" s="1"/>
  <c r="B50" i="41"/>
  <c r="D50" i="41" s="1"/>
  <c r="D81" i="40"/>
  <c r="C78" i="40"/>
  <c r="C79" i="40" s="1"/>
  <c r="C80" i="40" s="1"/>
  <c r="C81" i="40" s="1"/>
  <c r="B98" i="6"/>
  <c r="D98" i="6" s="1"/>
  <c r="B99" i="6"/>
  <c r="D99" i="6" s="1"/>
  <c r="B100" i="6"/>
  <c r="D100" i="6" s="1"/>
  <c r="B101" i="6"/>
  <c r="D101" i="6" s="1"/>
  <c r="D96" i="38"/>
  <c r="B94" i="38"/>
  <c r="D94" i="38" s="1"/>
  <c r="D93" i="38"/>
  <c r="B95" i="38"/>
  <c r="D95" i="38" s="1"/>
  <c r="B97" i="38"/>
  <c r="D97" i="38" s="1"/>
  <c r="D95" i="37"/>
  <c r="D96" i="37"/>
  <c r="D94" i="37"/>
  <c r="B97" i="37"/>
  <c r="D97" i="37" s="1"/>
  <c r="B98" i="37"/>
  <c r="D98" i="37" s="1"/>
  <c r="D91" i="36"/>
  <c r="D92" i="36"/>
  <c r="B93" i="36"/>
  <c r="D93" i="36" s="1"/>
  <c r="B94" i="36"/>
  <c r="D94" i="36" s="1"/>
  <c r="B95" i="36"/>
  <c r="D95" i="36" s="1"/>
  <c r="D74" i="35"/>
  <c r="D71" i="35"/>
  <c r="B72" i="35"/>
  <c r="D72" i="35" s="1"/>
  <c r="B73" i="35"/>
  <c r="D73" i="35" s="1"/>
  <c r="B75" i="35"/>
  <c r="D75" i="35" s="1"/>
  <c r="D91" i="34"/>
  <c r="B92" i="34"/>
  <c r="D92" i="34" s="1"/>
  <c r="B93" i="34"/>
  <c r="D93" i="34" s="1"/>
  <c r="B94" i="34"/>
  <c r="D94" i="34" s="1"/>
  <c r="B95" i="34"/>
  <c r="D95" i="34" s="1"/>
  <c r="D130" i="32"/>
  <c r="B132" i="32"/>
  <c r="D132" i="32" s="1"/>
  <c r="B133" i="32"/>
  <c r="D133" i="32" s="1"/>
  <c r="B134" i="32"/>
  <c r="D134" i="32" s="1"/>
  <c r="B131" i="32"/>
  <c r="D131" i="32" s="1"/>
  <c r="E29" i="12"/>
  <c r="E30" i="12"/>
  <c r="E31" i="12"/>
  <c r="E32" i="12"/>
  <c r="J44" i="49"/>
  <c r="E44" i="49"/>
  <c r="F44" i="49" s="1"/>
  <c r="E43" i="49"/>
  <c r="F43" i="49" s="1"/>
  <c r="E42" i="49"/>
  <c r="F42" i="49" s="1"/>
  <c r="E41" i="49"/>
  <c r="K40" i="49"/>
  <c r="J40" i="49"/>
  <c r="J32" i="49"/>
  <c r="E32" i="49"/>
  <c r="F32" i="49" s="1"/>
  <c r="E31" i="49"/>
  <c r="F31" i="49" s="1"/>
  <c r="E30" i="49"/>
  <c r="F30" i="49" s="1"/>
  <c r="E29" i="49"/>
  <c r="F29" i="49" s="1"/>
  <c r="K28" i="49"/>
  <c r="J28" i="49"/>
  <c r="J19" i="49"/>
  <c r="F19" i="49"/>
  <c r="E18" i="49"/>
  <c r="F18" i="49" s="1"/>
  <c r="F17" i="49"/>
  <c r="E16" i="49"/>
  <c r="E20" i="49" s="1"/>
  <c r="H16" i="49" s="1"/>
  <c r="K15" i="49"/>
  <c r="J15" i="49"/>
  <c r="B5" i="49"/>
  <c r="G5" i="41"/>
  <c r="N34" i="34"/>
  <c r="F49" i="46"/>
  <c r="J32" i="46"/>
  <c r="E32" i="46"/>
  <c r="F32" i="46" s="1"/>
  <c r="E31" i="46"/>
  <c r="F31" i="46" s="1"/>
  <c r="E30" i="46"/>
  <c r="F30" i="46" s="1"/>
  <c r="E29" i="46"/>
  <c r="F29" i="46" s="1"/>
  <c r="K28" i="46"/>
  <c r="J28" i="46"/>
  <c r="J19" i="46"/>
  <c r="E19" i="46"/>
  <c r="F19" i="46" s="1"/>
  <c r="E18" i="46"/>
  <c r="F18" i="46" s="1"/>
  <c r="E17" i="46"/>
  <c r="F17" i="46" s="1"/>
  <c r="E16" i="46"/>
  <c r="K15" i="46"/>
  <c r="J15" i="46"/>
  <c r="B5" i="46"/>
  <c r="B7" i="46" s="1"/>
  <c r="J44" i="45"/>
  <c r="E44" i="45"/>
  <c r="F44" i="45" s="1"/>
  <c r="E43" i="45"/>
  <c r="F43" i="45" s="1"/>
  <c r="E42" i="45"/>
  <c r="F42" i="45" s="1"/>
  <c r="E41" i="45"/>
  <c r="E45" i="45" s="1"/>
  <c r="H41" i="45" s="1"/>
  <c r="H43" i="45" s="1"/>
  <c r="K40" i="45"/>
  <c r="J40" i="45"/>
  <c r="J32" i="45"/>
  <c r="E32" i="45"/>
  <c r="F32" i="45" s="1"/>
  <c r="E31" i="45"/>
  <c r="F31" i="45" s="1"/>
  <c r="E30" i="45"/>
  <c r="F30" i="45" s="1"/>
  <c r="E29" i="45"/>
  <c r="F29" i="45" s="1"/>
  <c r="K28" i="45"/>
  <c r="J28" i="45"/>
  <c r="J19" i="45"/>
  <c r="E19" i="45"/>
  <c r="F19" i="45" s="1"/>
  <c r="E18" i="45"/>
  <c r="F18" i="45" s="1"/>
  <c r="E17" i="45"/>
  <c r="F17" i="45" s="1"/>
  <c r="E16" i="45"/>
  <c r="F16" i="45" s="1"/>
  <c r="K15" i="45"/>
  <c r="J15" i="45"/>
  <c r="B5" i="45"/>
  <c r="J44" i="44"/>
  <c r="E44" i="44"/>
  <c r="F44" i="44" s="1"/>
  <c r="E43" i="44"/>
  <c r="F43" i="44" s="1"/>
  <c r="E42" i="44"/>
  <c r="F42" i="44" s="1"/>
  <c r="E41" i="44"/>
  <c r="K40" i="44"/>
  <c r="J40" i="44"/>
  <c r="J32" i="44"/>
  <c r="E32" i="44"/>
  <c r="F32" i="44" s="1"/>
  <c r="E31" i="44"/>
  <c r="F31" i="44" s="1"/>
  <c r="E30" i="44"/>
  <c r="F30" i="44" s="1"/>
  <c r="E29" i="44"/>
  <c r="K28" i="44"/>
  <c r="J28" i="44"/>
  <c r="J19" i="44"/>
  <c r="E19" i="44"/>
  <c r="F19" i="44" s="1"/>
  <c r="E18" i="44"/>
  <c r="F18" i="44" s="1"/>
  <c r="E17" i="44"/>
  <c r="F17" i="44" s="1"/>
  <c r="E16" i="44"/>
  <c r="F16" i="44" s="1"/>
  <c r="K15" i="44"/>
  <c r="J15" i="44"/>
  <c r="B5" i="44"/>
  <c r="K64" i="11"/>
  <c r="K52" i="11"/>
  <c r="F114" i="32"/>
  <c r="F115" i="32" s="1"/>
  <c r="F118" i="32" s="1"/>
  <c r="F112" i="32"/>
  <c r="J95" i="32"/>
  <c r="J100" i="32"/>
  <c r="E100" i="32"/>
  <c r="F100" i="32" s="1"/>
  <c r="E99" i="32"/>
  <c r="F99" i="32" s="1"/>
  <c r="F98" i="32"/>
  <c r="E98" i="32"/>
  <c r="F97" i="32"/>
  <c r="E97" i="32"/>
  <c r="E101" i="32" s="1"/>
  <c r="H97" i="32" s="1"/>
  <c r="H99" i="32" s="1"/>
  <c r="K96" i="32"/>
  <c r="J96" i="32"/>
  <c r="J88" i="32"/>
  <c r="E88" i="32"/>
  <c r="F88" i="32" s="1"/>
  <c r="E87" i="32"/>
  <c r="F87" i="32" s="1"/>
  <c r="E86" i="32"/>
  <c r="F86" i="32" s="1"/>
  <c r="E85" i="32"/>
  <c r="F85" i="32" s="1"/>
  <c r="K84" i="32"/>
  <c r="J84" i="32"/>
  <c r="J76" i="32"/>
  <c r="E76" i="32"/>
  <c r="F76" i="32" s="1"/>
  <c r="E75" i="32"/>
  <c r="F75" i="32" s="1"/>
  <c r="E74" i="32"/>
  <c r="F74" i="32" s="1"/>
  <c r="E73" i="32"/>
  <c r="F73" i="32" s="1"/>
  <c r="K72" i="32"/>
  <c r="J72" i="32"/>
  <c r="F32" i="41"/>
  <c r="F29" i="41"/>
  <c r="F31" i="41" s="1"/>
  <c r="F61" i="40"/>
  <c r="F62" i="40" s="1"/>
  <c r="F63" i="40" s="1"/>
  <c r="F65" i="40" s="1"/>
  <c r="B60" i="40"/>
  <c r="F59" i="40"/>
  <c r="F16" i="9"/>
  <c r="B47" i="1"/>
  <c r="B20" i="1"/>
  <c r="B39" i="1"/>
  <c r="C39" i="1" s="1"/>
  <c r="B35" i="1"/>
  <c r="B10" i="1"/>
  <c r="B60" i="1"/>
  <c r="B85" i="1"/>
  <c r="I3" i="42"/>
  <c r="N69" i="44" l="1"/>
  <c r="K70" i="44"/>
  <c r="N57" i="44"/>
  <c r="K58" i="44"/>
  <c r="E45" i="44"/>
  <c r="H41" i="44" s="1"/>
  <c r="H43" i="44" s="1"/>
  <c r="E33" i="44"/>
  <c r="H29" i="44" s="1"/>
  <c r="H31" i="44" s="1"/>
  <c r="F33" i="49"/>
  <c r="H27" i="49" s="1"/>
  <c r="E33" i="49"/>
  <c r="H29" i="49" s="1"/>
  <c r="J29" i="49" s="1"/>
  <c r="E45" i="49"/>
  <c r="H41" i="49" s="1"/>
  <c r="J41" i="49" s="1"/>
  <c r="N52" i="54"/>
  <c r="B74" i="54" s="1"/>
  <c r="J53" i="54"/>
  <c r="N42" i="54"/>
  <c r="N22" i="54"/>
  <c r="J23" i="54"/>
  <c r="K94" i="54"/>
  <c r="L93" i="54"/>
  <c r="D93" i="54"/>
  <c r="C94" i="54"/>
  <c r="N62" i="52"/>
  <c r="N42" i="52"/>
  <c r="N32" i="52"/>
  <c r="J53" i="52"/>
  <c r="N52" i="52"/>
  <c r="B104" i="52" s="1"/>
  <c r="K124" i="52"/>
  <c r="L123" i="52"/>
  <c r="C124" i="52"/>
  <c r="D123" i="52"/>
  <c r="H38" i="51"/>
  <c r="K45" i="51" s="1"/>
  <c r="F45" i="51"/>
  <c r="H41" i="51" s="1"/>
  <c r="J41" i="51" s="1"/>
  <c r="J38" i="51"/>
  <c r="H132" i="9"/>
  <c r="J132" i="9" s="1"/>
  <c r="F106" i="9"/>
  <c r="H113" i="9"/>
  <c r="J113" i="9" s="1"/>
  <c r="H131" i="9"/>
  <c r="K136" i="9" s="1"/>
  <c r="F136" i="9"/>
  <c r="H123" i="9"/>
  <c r="J123" i="9" s="1"/>
  <c r="H122" i="9"/>
  <c r="J122" i="9" s="1"/>
  <c r="F126" i="9"/>
  <c r="H121" i="9"/>
  <c r="K126" i="9" s="1"/>
  <c r="H111" i="9"/>
  <c r="K116" i="9" s="1"/>
  <c r="F116" i="9"/>
  <c r="H101" i="9"/>
  <c r="K106" i="9" s="1"/>
  <c r="H103" i="9"/>
  <c r="J103" i="9" s="1"/>
  <c r="H102" i="9"/>
  <c r="J102" i="9" s="1"/>
  <c r="H72" i="9"/>
  <c r="J72" i="9" s="1"/>
  <c r="H83" i="9"/>
  <c r="J83" i="9" s="1"/>
  <c r="H91" i="9"/>
  <c r="K96" i="9" s="1"/>
  <c r="F96" i="9"/>
  <c r="H93" i="9"/>
  <c r="J93" i="9" s="1"/>
  <c r="H92" i="9"/>
  <c r="J92" i="9" s="1"/>
  <c r="F86" i="9"/>
  <c r="H81" i="9"/>
  <c r="K86" i="9" s="1"/>
  <c r="F76" i="9"/>
  <c r="H71" i="9"/>
  <c r="K76" i="9" s="1"/>
  <c r="B81" i="51"/>
  <c r="H14" i="51"/>
  <c r="F21" i="51"/>
  <c r="H17" i="51" s="1"/>
  <c r="J17" i="51" s="1"/>
  <c r="K14" i="51"/>
  <c r="K20" i="51" s="1"/>
  <c r="H31" i="51"/>
  <c r="J31" i="51" s="1"/>
  <c r="J29" i="51"/>
  <c r="J27" i="51"/>
  <c r="J14" i="51"/>
  <c r="K27" i="51"/>
  <c r="F34" i="51"/>
  <c r="H30" i="51" s="1"/>
  <c r="J30" i="51" s="1"/>
  <c r="H27" i="51"/>
  <c r="H27" i="50"/>
  <c r="H36" i="50"/>
  <c r="H35" i="50"/>
  <c r="L81" i="26"/>
  <c r="L80" i="26"/>
  <c r="L82" i="26"/>
  <c r="J133" i="32"/>
  <c r="J132" i="32"/>
  <c r="D80" i="40"/>
  <c r="D79" i="40"/>
  <c r="D78" i="40"/>
  <c r="B7" i="49"/>
  <c r="J51" i="49" s="1"/>
  <c r="J57" i="49" s="1"/>
  <c r="J58" i="49" s="1"/>
  <c r="G5" i="49"/>
  <c r="G7" i="49" s="1"/>
  <c r="K51" i="49" s="1"/>
  <c r="K57" i="49" s="1"/>
  <c r="H18" i="49"/>
  <c r="J18" i="49" s="1"/>
  <c r="J16" i="49"/>
  <c r="F16" i="49"/>
  <c r="F20" i="49" s="1"/>
  <c r="F41" i="49"/>
  <c r="F45" i="49" s="1"/>
  <c r="E20" i="46"/>
  <c r="H16" i="46" s="1"/>
  <c r="H18" i="46" s="1"/>
  <c r="F33" i="46"/>
  <c r="F34" i="46" s="1"/>
  <c r="H30" i="46" s="1"/>
  <c r="F51" i="46"/>
  <c r="F52" i="46" s="1"/>
  <c r="F53" i="46" s="1"/>
  <c r="F55" i="46" s="1"/>
  <c r="G5" i="46"/>
  <c r="G7" i="46" s="1"/>
  <c r="F16" i="46"/>
  <c r="F20" i="46" s="1"/>
  <c r="E33" i="46"/>
  <c r="H29" i="46" s="1"/>
  <c r="H31" i="46" s="1"/>
  <c r="F41" i="45"/>
  <c r="F20" i="45"/>
  <c r="F33" i="45"/>
  <c r="F21" i="45"/>
  <c r="H17" i="45" s="1"/>
  <c r="H14" i="45"/>
  <c r="G5" i="45"/>
  <c r="G7" i="45" s="1"/>
  <c r="B7" i="45"/>
  <c r="F45" i="45"/>
  <c r="F73" i="45" s="1"/>
  <c r="F75" i="45" s="1"/>
  <c r="F76" i="45" s="1"/>
  <c r="F77" i="45" s="1"/>
  <c r="F79" i="45" s="1"/>
  <c r="E20" i="45"/>
  <c r="H16" i="45" s="1"/>
  <c r="H18" i="45" s="1"/>
  <c r="E33" i="45"/>
  <c r="H29" i="45" s="1"/>
  <c r="H31" i="45" s="1"/>
  <c r="F41" i="44"/>
  <c r="F45" i="44" s="1"/>
  <c r="F29" i="44"/>
  <c r="F20" i="44"/>
  <c r="F21" i="44" s="1"/>
  <c r="H17" i="44" s="1"/>
  <c r="F33" i="44"/>
  <c r="F34" i="44" s="1"/>
  <c r="H30" i="44" s="1"/>
  <c r="G5" i="44"/>
  <c r="G7" i="44" s="1"/>
  <c r="B7" i="44"/>
  <c r="E20" i="44"/>
  <c r="H16" i="44" s="1"/>
  <c r="H18" i="44" s="1"/>
  <c r="F101" i="32"/>
  <c r="F77" i="32"/>
  <c r="F89" i="32"/>
  <c r="E89" i="32"/>
  <c r="H85" i="32" s="1"/>
  <c r="H87" i="32" s="1"/>
  <c r="E77" i="32"/>
  <c r="H73" i="32" s="1"/>
  <c r="H75" i="32" s="1"/>
  <c r="F33" i="41"/>
  <c r="F35" i="41" s="1"/>
  <c r="E39" i="1"/>
  <c r="D39" i="1"/>
  <c r="K65" i="9"/>
  <c r="J64" i="9"/>
  <c r="J54" i="9"/>
  <c r="J42" i="9"/>
  <c r="K55" i="9"/>
  <c r="K43" i="9"/>
  <c r="K14" i="26"/>
  <c r="K30" i="44" l="1"/>
  <c r="J30" i="44"/>
  <c r="F46" i="44"/>
  <c r="H42" i="44" s="1"/>
  <c r="F80" i="44"/>
  <c r="F82" i="44" s="1"/>
  <c r="F83" i="44" s="1"/>
  <c r="F84" i="44" s="1"/>
  <c r="F86" i="44" s="1"/>
  <c r="K27" i="45"/>
  <c r="K33" i="45" s="1"/>
  <c r="H92" i="45" s="1"/>
  <c r="K58" i="49"/>
  <c r="N57" i="49"/>
  <c r="F34" i="49"/>
  <c r="H30" i="49" s="1"/>
  <c r="J30" i="49" s="1"/>
  <c r="K14" i="49"/>
  <c r="H43" i="49"/>
  <c r="J43" i="49" s="1"/>
  <c r="H31" i="49"/>
  <c r="J31" i="49" s="1"/>
  <c r="K95" i="54"/>
  <c r="L94" i="54"/>
  <c r="C95" i="54"/>
  <c r="D94" i="54"/>
  <c r="K125" i="52"/>
  <c r="L124" i="52"/>
  <c r="C125" i="52"/>
  <c r="D124" i="52"/>
  <c r="J44" i="51"/>
  <c r="N44" i="51" s="1"/>
  <c r="J33" i="51"/>
  <c r="K21" i="51"/>
  <c r="B85" i="51"/>
  <c r="B83" i="51"/>
  <c r="B84" i="51"/>
  <c r="B82" i="51"/>
  <c r="C81" i="51"/>
  <c r="C82" i="51" s="1"/>
  <c r="C83" i="51" s="1"/>
  <c r="C84" i="51" s="1"/>
  <c r="C85" i="51" s="1"/>
  <c r="H81" i="51"/>
  <c r="K34" i="51"/>
  <c r="B63" i="51"/>
  <c r="J20" i="51"/>
  <c r="J21" i="51" s="1"/>
  <c r="K27" i="49"/>
  <c r="K33" i="49" s="1"/>
  <c r="F73" i="49"/>
  <c r="F75" i="49" s="1"/>
  <c r="F76" i="49" s="1"/>
  <c r="F77" i="49" s="1"/>
  <c r="F79" i="49" s="1"/>
  <c r="K39" i="49"/>
  <c r="K45" i="49" s="1"/>
  <c r="B92" i="49" s="1"/>
  <c r="J23" i="50" s="1"/>
  <c r="F46" i="49"/>
  <c r="H42" i="49" s="1"/>
  <c r="J42" i="49" s="1"/>
  <c r="H39" i="49"/>
  <c r="J27" i="49"/>
  <c r="J14" i="49"/>
  <c r="J39" i="49"/>
  <c r="K20" i="49"/>
  <c r="H14" i="49"/>
  <c r="F21" i="49"/>
  <c r="H17" i="49" s="1"/>
  <c r="J17" i="49" s="1"/>
  <c r="K27" i="46"/>
  <c r="K33" i="46" s="1"/>
  <c r="B67" i="46" s="1"/>
  <c r="J27" i="46"/>
  <c r="J33" i="46" s="1"/>
  <c r="H27" i="46"/>
  <c r="F21" i="46"/>
  <c r="H17" i="46" s="1"/>
  <c r="K14" i="46"/>
  <c r="K20" i="46" s="1"/>
  <c r="H14" i="46"/>
  <c r="J14" i="46"/>
  <c r="J20" i="46" s="1"/>
  <c r="H27" i="45"/>
  <c r="J27" i="45"/>
  <c r="J33" i="45" s="1"/>
  <c r="F34" i="45"/>
  <c r="H30" i="45" s="1"/>
  <c r="K14" i="45"/>
  <c r="K20" i="45" s="1"/>
  <c r="K21" i="45" s="1"/>
  <c r="J14" i="45"/>
  <c r="J20" i="45" s="1"/>
  <c r="J21" i="45" s="1"/>
  <c r="J39" i="45"/>
  <c r="J45" i="45" s="1"/>
  <c r="C92" i="45" s="1"/>
  <c r="C93" i="45" s="1"/>
  <c r="C94" i="45" s="1"/>
  <c r="C95" i="45" s="1"/>
  <c r="C96" i="45" s="1"/>
  <c r="K39" i="45"/>
  <c r="K45" i="45" s="1"/>
  <c r="B92" i="45" s="1"/>
  <c r="H39" i="45"/>
  <c r="F46" i="45"/>
  <c r="H42" i="45" s="1"/>
  <c r="H14" i="44"/>
  <c r="H39" i="44"/>
  <c r="K39" i="44"/>
  <c r="J27" i="44"/>
  <c r="J33" i="44" s="1"/>
  <c r="J99" i="44" s="1"/>
  <c r="J100" i="44" s="1"/>
  <c r="J101" i="44" s="1"/>
  <c r="J102" i="44" s="1"/>
  <c r="J103" i="44" s="1"/>
  <c r="K27" i="44"/>
  <c r="H27" i="44"/>
  <c r="K14" i="44"/>
  <c r="K20" i="44" s="1"/>
  <c r="J39" i="44"/>
  <c r="J14" i="44"/>
  <c r="J20" i="44" s="1"/>
  <c r="J101" i="32"/>
  <c r="H95" i="32"/>
  <c r="F102" i="32"/>
  <c r="H98" i="32" s="1"/>
  <c r="F78" i="32"/>
  <c r="H74" i="32" s="1"/>
  <c r="H71" i="32"/>
  <c r="F90" i="32"/>
  <c r="H86" i="32" s="1"/>
  <c r="H83" i="32"/>
  <c r="E17" i="18"/>
  <c r="E18" i="18"/>
  <c r="E19" i="18"/>
  <c r="E16" i="18"/>
  <c r="D74" i="1"/>
  <c r="D73" i="1"/>
  <c r="C73" i="1"/>
  <c r="D72" i="1"/>
  <c r="C72" i="1"/>
  <c r="D71" i="1"/>
  <c r="C71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S39" i="42" s="1"/>
  <c r="C41" i="1"/>
  <c r="S38" i="42" s="1"/>
  <c r="C40" i="1"/>
  <c r="S37" i="42" s="1"/>
  <c r="C38" i="1"/>
  <c r="S36" i="42" s="1"/>
  <c r="C37" i="1"/>
  <c r="S35" i="42" s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S10" i="42" s="1"/>
  <c r="C11" i="1"/>
  <c r="S9" i="42" s="1"/>
  <c r="C6" i="1"/>
  <c r="C10" i="1"/>
  <c r="C9" i="1"/>
  <c r="C8" i="1"/>
  <c r="C7" i="1"/>
  <c r="C5" i="1"/>
  <c r="J21" i="44" l="1"/>
  <c r="K33" i="44"/>
  <c r="I99" i="44" s="1"/>
  <c r="J42" i="44"/>
  <c r="J45" i="44" s="1"/>
  <c r="K42" i="44"/>
  <c r="K45" i="44" s="1"/>
  <c r="B99" i="44" s="1"/>
  <c r="N23" i="50" s="1"/>
  <c r="J34" i="45"/>
  <c r="I92" i="45"/>
  <c r="I93" i="45" s="1"/>
  <c r="I94" i="45" s="1"/>
  <c r="I95" i="45" s="1"/>
  <c r="I96" i="45" s="1"/>
  <c r="K34" i="45"/>
  <c r="B94" i="45"/>
  <c r="D94" i="45" s="1"/>
  <c r="J14" i="50"/>
  <c r="B95" i="45"/>
  <c r="D95" i="45" s="1"/>
  <c r="D92" i="45"/>
  <c r="B96" i="45"/>
  <c r="D96" i="45" s="1"/>
  <c r="B93" i="45"/>
  <c r="D93" i="45" s="1"/>
  <c r="J92" i="45"/>
  <c r="H93" i="45"/>
  <c r="J93" i="45" s="1"/>
  <c r="H95" i="45"/>
  <c r="J95" i="45" s="1"/>
  <c r="H96" i="45"/>
  <c r="H94" i="45"/>
  <c r="J33" i="49"/>
  <c r="N33" i="49" s="1"/>
  <c r="J26" i="50"/>
  <c r="L26" i="50" s="1"/>
  <c r="J25" i="50"/>
  <c r="L25" i="50" s="1"/>
  <c r="J27" i="50"/>
  <c r="L27" i="50" s="1"/>
  <c r="J24" i="50"/>
  <c r="L24" i="50" s="1"/>
  <c r="L23" i="50"/>
  <c r="J92" i="49"/>
  <c r="K96" i="54"/>
  <c r="L95" i="54"/>
  <c r="C96" i="54"/>
  <c r="D95" i="54"/>
  <c r="C126" i="52"/>
  <c r="D125" i="52"/>
  <c r="K126" i="52"/>
  <c r="L125" i="52"/>
  <c r="P40" i="51"/>
  <c r="Q40" i="51" s="1"/>
  <c r="J45" i="51"/>
  <c r="P39" i="51"/>
  <c r="Q39" i="51" s="1"/>
  <c r="P41" i="51"/>
  <c r="Q41" i="51" s="1"/>
  <c r="P42" i="51"/>
  <c r="Q42" i="51" s="1"/>
  <c r="N33" i="51"/>
  <c r="P31" i="51"/>
  <c r="Q31" i="51" s="1"/>
  <c r="P30" i="51"/>
  <c r="Q30" i="51" s="1"/>
  <c r="P29" i="51"/>
  <c r="Q29" i="51" s="1"/>
  <c r="P28" i="51"/>
  <c r="Q28" i="51" s="1"/>
  <c r="H85" i="51"/>
  <c r="H83" i="51"/>
  <c r="H82" i="51"/>
  <c r="H84" i="51"/>
  <c r="D83" i="51"/>
  <c r="D82" i="51"/>
  <c r="D85" i="51"/>
  <c r="D81" i="51"/>
  <c r="N20" i="51"/>
  <c r="D84" i="51"/>
  <c r="I81" i="51"/>
  <c r="I82" i="51" s="1"/>
  <c r="I83" i="51" s="1"/>
  <c r="I84" i="51" s="1"/>
  <c r="I85" i="51" s="1"/>
  <c r="J34" i="51"/>
  <c r="B94" i="49"/>
  <c r="B95" i="49"/>
  <c r="B96" i="49"/>
  <c r="B93" i="49"/>
  <c r="B71" i="46"/>
  <c r="D71" i="46" s="1"/>
  <c r="D67" i="46"/>
  <c r="B68" i="46"/>
  <c r="D68" i="46" s="1"/>
  <c r="B69" i="46"/>
  <c r="D69" i="46" s="1"/>
  <c r="B70" i="46"/>
  <c r="D70" i="46" s="1"/>
  <c r="K34" i="49"/>
  <c r="K21" i="49"/>
  <c r="J45" i="49"/>
  <c r="N45" i="49" s="1"/>
  <c r="B74" i="49" s="1"/>
  <c r="J20" i="49"/>
  <c r="J21" i="49" s="1"/>
  <c r="K46" i="49"/>
  <c r="J21" i="46"/>
  <c r="N33" i="46"/>
  <c r="B50" i="46" s="1"/>
  <c r="K34" i="46"/>
  <c r="J34" i="46"/>
  <c r="K21" i="46"/>
  <c r="N20" i="46"/>
  <c r="N33" i="45"/>
  <c r="J46" i="45"/>
  <c r="K46" i="45"/>
  <c r="N45" i="45"/>
  <c r="B74" i="45" s="1"/>
  <c r="N20" i="45"/>
  <c r="J34" i="44"/>
  <c r="N20" i="44"/>
  <c r="K21" i="44"/>
  <c r="J102" i="32"/>
  <c r="K15" i="12"/>
  <c r="F19" i="12"/>
  <c r="E18" i="12"/>
  <c r="F18" i="12" s="1"/>
  <c r="F17" i="12"/>
  <c r="J40" i="12"/>
  <c r="N33" i="44" l="1"/>
  <c r="C99" i="44"/>
  <c r="C100" i="44" s="1"/>
  <c r="C101" i="44" s="1"/>
  <c r="C102" i="44" s="1"/>
  <c r="C103" i="44" s="1"/>
  <c r="J46" i="44"/>
  <c r="N26" i="50"/>
  <c r="P26" i="50" s="1"/>
  <c r="N25" i="50"/>
  <c r="P25" i="50" s="1"/>
  <c r="P23" i="50"/>
  <c r="N27" i="50"/>
  <c r="P27" i="50" s="1"/>
  <c r="N24" i="50"/>
  <c r="P24" i="50" s="1"/>
  <c r="B100" i="44"/>
  <c r="B102" i="44"/>
  <c r="I102" i="44"/>
  <c r="K102" i="44" s="1"/>
  <c r="I101" i="44"/>
  <c r="K101" i="44" s="1"/>
  <c r="K99" i="44"/>
  <c r="I103" i="44"/>
  <c r="K103" i="44" s="1"/>
  <c r="I100" i="44"/>
  <c r="K100" i="44" s="1"/>
  <c r="N45" i="44"/>
  <c r="B81" i="44" s="1"/>
  <c r="B101" i="44"/>
  <c r="K46" i="44"/>
  <c r="K34" i="44"/>
  <c r="B103" i="44"/>
  <c r="L14" i="50"/>
  <c r="J15" i="50"/>
  <c r="L15" i="50" s="1"/>
  <c r="J16" i="50"/>
  <c r="L16" i="50" s="1"/>
  <c r="J17" i="50"/>
  <c r="L17" i="50" s="1"/>
  <c r="J18" i="50"/>
  <c r="L18" i="50" s="1"/>
  <c r="J94" i="45"/>
  <c r="J96" i="45"/>
  <c r="K92" i="49"/>
  <c r="K93" i="49" s="1"/>
  <c r="K94" i="49" s="1"/>
  <c r="K95" i="49" s="1"/>
  <c r="K96" i="49" s="1"/>
  <c r="J34" i="49"/>
  <c r="J93" i="49"/>
  <c r="J95" i="49"/>
  <c r="J96" i="49"/>
  <c r="J94" i="49"/>
  <c r="J46" i="49"/>
  <c r="C92" i="49"/>
  <c r="C97" i="54"/>
  <c r="D97" i="54" s="1"/>
  <c r="D96" i="54"/>
  <c r="K97" i="54"/>
  <c r="L97" i="54" s="1"/>
  <c r="L96" i="54"/>
  <c r="K127" i="52"/>
  <c r="L127" i="52" s="1"/>
  <c r="L126" i="52"/>
  <c r="C127" i="52"/>
  <c r="D127" i="52" s="1"/>
  <c r="D126" i="52"/>
  <c r="J81" i="51"/>
  <c r="J83" i="51"/>
  <c r="J84" i="51"/>
  <c r="J82" i="51"/>
  <c r="J85" i="51"/>
  <c r="N20" i="49"/>
  <c r="K40" i="12"/>
  <c r="J45" i="18"/>
  <c r="K45" i="18"/>
  <c r="D102" i="44" l="1"/>
  <c r="D103" i="44"/>
  <c r="D100" i="44"/>
  <c r="D101" i="44"/>
  <c r="D99" i="44"/>
  <c r="L92" i="49"/>
  <c r="L95" i="49"/>
  <c r="L94" i="49"/>
  <c r="L93" i="49"/>
  <c r="L96" i="49"/>
  <c r="C93" i="49"/>
  <c r="D92" i="49"/>
  <c r="B2" i="43"/>
  <c r="B5" i="43" s="1"/>
  <c r="J59" i="43"/>
  <c r="E59" i="43"/>
  <c r="F59" i="43" s="1"/>
  <c r="E58" i="43"/>
  <c r="F58" i="43" s="1"/>
  <c r="E57" i="43"/>
  <c r="F57" i="43" s="1"/>
  <c r="E56" i="43"/>
  <c r="K55" i="43"/>
  <c r="J55" i="43"/>
  <c r="J47" i="43"/>
  <c r="E47" i="43"/>
  <c r="F47" i="43" s="1"/>
  <c r="E46" i="43"/>
  <c r="F46" i="43" s="1"/>
  <c r="E45" i="43"/>
  <c r="F45" i="43" s="1"/>
  <c r="E44" i="43"/>
  <c r="F44" i="43" s="1"/>
  <c r="K43" i="43"/>
  <c r="J43" i="43"/>
  <c r="J35" i="43"/>
  <c r="E35" i="43"/>
  <c r="F35" i="43" s="1"/>
  <c r="E34" i="43"/>
  <c r="F34" i="43" s="1"/>
  <c r="E33" i="43"/>
  <c r="F33" i="43" s="1"/>
  <c r="E32" i="43"/>
  <c r="F32" i="43" s="1"/>
  <c r="K31" i="43"/>
  <c r="J31" i="43"/>
  <c r="J20" i="43"/>
  <c r="E20" i="43"/>
  <c r="F20" i="43" s="1"/>
  <c r="E19" i="43"/>
  <c r="F19" i="43" s="1"/>
  <c r="E18" i="43"/>
  <c r="F18" i="43" s="1"/>
  <c r="E17" i="43"/>
  <c r="F17" i="43" s="1"/>
  <c r="K16" i="43"/>
  <c r="J16" i="43"/>
  <c r="W6" i="42"/>
  <c r="W31" i="42"/>
  <c r="W30" i="42"/>
  <c r="W21" i="42"/>
  <c r="W22" i="42"/>
  <c r="W23" i="42"/>
  <c r="W27" i="42"/>
  <c r="W19" i="42"/>
  <c r="W18" i="42"/>
  <c r="W7" i="42"/>
  <c r="W8" i="42"/>
  <c r="W9" i="42"/>
  <c r="W10" i="42"/>
  <c r="W11" i="42"/>
  <c r="W12" i="42"/>
  <c r="W13" i="42"/>
  <c r="W14" i="42"/>
  <c r="W15" i="42"/>
  <c r="W16" i="42"/>
  <c r="W20" i="42"/>
  <c r="W24" i="42"/>
  <c r="W25" i="42"/>
  <c r="W26" i="42"/>
  <c r="W29" i="42"/>
  <c r="S32" i="42"/>
  <c r="S33" i="42"/>
  <c r="S34" i="42"/>
  <c r="S41" i="42"/>
  <c r="W4" i="42"/>
  <c r="W5" i="42"/>
  <c r="S6" i="42"/>
  <c r="S7" i="42"/>
  <c r="S8" i="42"/>
  <c r="S11" i="42"/>
  <c r="S12" i="42"/>
  <c r="S13" i="42"/>
  <c r="S14" i="42"/>
  <c r="S15" i="42"/>
  <c r="S16" i="42"/>
  <c r="S17" i="42"/>
  <c r="S18" i="42"/>
  <c r="S19" i="42"/>
  <c r="S20" i="42"/>
  <c r="S21" i="42"/>
  <c r="S22" i="42"/>
  <c r="S23" i="42"/>
  <c r="S24" i="42"/>
  <c r="S25" i="42"/>
  <c r="S26" i="42"/>
  <c r="S27" i="42"/>
  <c r="S28" i="42"/>
  <c r="S29" i="42"/>
  <c r="S30" i="42"/>
  <c r="S31" i="42"/>
  <c r="S4" i="42"/>
  <c r="V25" i="42"/>
  <c r="V26" i="42"/>
  <c r="V27" i="42"/>
  <c r="V28" i="42"/>
  <c r="V29" i="42"/>
  <c r="V30" i="42"/>
  <c r="V31" i="42"/>
  <c r="V32" i="42"/>
  <c r="V13" i="42"/>
  <c r="V14" i="42"/>
  <c r="V15" i="42"/>
  <c r="V16" i="42"/>
  <c r="V17" i="42"/>
  <c r="V18" i="42"/>
  <c r="V19" i="42"/>
  <c r="V20" i="42"/>
  <c r="V21" i="42"/>
  <c r="V22" i="42"/>
  <c r="V23" i="42"/>
  <c r="V24" i="42"/>
  <c r="R6" i="42"/>
  <c r="R7" i="42"/>
  <c r="R8" i="42"/>
  <c r="R9" i="42"/>
  <c r="R10" i="42"/>
  <c r="R11" i="42"/>
  <c r="R12" i="42"/>
  <c r="R13" i="42"/>
  <c r="R14" i="42"/>
  <c r="R15" i="42"/>
  <c r="R16" i="42"/>
  <c r="R17" i="42"/>
  <c r="R18" i="42"/>
  <c r="R19" i="42"/>
  <c r="R20" i="42"/>
  <c r="R21" i="42"/>
  <c r="R22" i="42"/>
  <c r="R23" i="42"/>
  <c r="R24" i="42"/>
  <c r="R25" i="42"/>
  <c r="R26" i="42"/>
  <c r="R27" i="42"/>
  <c r="R28" i="42"/>
  <c r="R29" i="42"/>
  <c r="R30" i="42"/>
  <c r="R31" i="42"/>
  <c r="R32" i="42"/>
  <c r="R33" i="42"/>
  <c r="R34" i="42"/>
  <c r="R35" i="42"/>
  <c r="R36" i="42"/>
  <c r="R37" i="42"/>
  <c r="R38" i="42"/>
  <c r="R39" i="42"/>
  <c r="R40" i="42"/>
  <c r="R41" i="42"/>
  <c r="V4" i="42"/>
  <c r="V5" i="42"/>
  <c r="V6" i="42"/>
  <c r="V7" i="42"/>
  <c r="V8" i="42"/>
  <c r="V9" i="42"/>
  <c r="V10" i="42"/>
  <c r="V11" i="42"/>
  <c r="V12" i="42"/>
  <c r="R5" i="42"/>
  <c r="R4" i="42"/>
  <c r="E24" i="6"/>
  <c r="F23" i="6"/>
  <c r="J23" i="6"/>
  <c r="F22" i="6"/>
  <c r="F21" i="6"/>
  <c r="E17" i="11"/>
  <c r="F17" i="11" s="1"/>
  <c r="N29" i="42"/>
  <c r="N21" i="42"/>
  <c r="N17" i="42"/>
  <c r="N12" i="42"/>
  <c r="N7" i="42"/>
  <c r="I37" i="42"/>
  <c r="I32" i="42"/>
  <c r="J20" i="35"/>
  <c r="E20" i="35"/>
  <c r="F20" i="35" s="1"/>
  <c r="E19" i="35"/>
  <c r="F19" i="35" s="1"/>
  <c r="E18" i="35"/>
  <c r="F18" i="35" s="1"/>
  <c r="E17" i="35"/>
  <c r="K16" i="35"/>
  <c r="J16" i="35"/>
  <c r="I30" i="42"/>
  <c r="I25" i="42"/>
  <c r="I20" i="42"/>
  <c r="I15" i="42"/>
  <c r="I13" i="42"/>
  <c r="I8" i="42"/>
  <c r="D29" i="21"/>
  <c r="I7" i="21"/>
  <c r="E73" i="1"/>
  <c r="E74" i="1"/>
  <c r="E72" i="1"/>
  <c r="E71" i="1"/>
  <c r="E65" i="1"/>
  <c r="E66" i="1"/>
  <c r="E67" i="1"/>
  <c r="E68" i="1"/>
  <c r="E69" i="1"/>
  <c r="E64" i="1"/>
  <c r="E63" i="1"/>
  <c r="E62" i="1"/>
  <c r="E61" i="1"/>
  <c r="E60" i="1"/>
  <c r="E51" i="1"/>
  <c r="E41" i="1"/>
  <c r="C74" i="1"/>
  <c r="W32" i="42" s="1"/>
  <c r="C94" i="49" l="1"/>
  <c r="D93" i="49"/>
  <c r="B7" i="43"/>
  <c r="G5" i="43"/>
  <c r="G7" i="43" s="1"/>
  <c r="E60" i="43"/>
  <c r="H56" i="43" s="1"/>
  <c r="H58" i="43" s="1"/>
  <c r="F56" i="43"/>
  <c r="F60" i="43" s="1"/>
  <c r="F76" i="43" s="1"/>
  <c r="F78" i="43" s="1"/>
  <c r="F79" i="43" s="1"/>
  <c r="F80" i="43" s="1"/>
  <c r="F82" i="43" s="1"/>
  <c r="E36" i="43"/>
  <c r="H32" i="43" s="1"/>
  <c r="H34" i="43" s="1"/>
  <c r="E48" i="43"/>
  <c r="H44" i="43" s="1"/>
  <c r="H46" i="43" s="1"/>
  <c r="F48" i="43"/>
  <c r="F36" i="43"/>
  <c r="E21" i="43"/>
  <c r="H17" i="43" s="1"/>
  <c r="H19" i="43" s="1"/>
  <c r="F21" i="43"/>
  <c r="H22" i="6"/>
  <c r="J22" i="6" s="1"/>
  <c r="H21" i="6"/>
  <c r="J21" i="6" s="1"/>
  <c r="F20" i="6"/>
  <c r="F24" i="6" s="1"/>
  <c r="E21" i="35"/>
  <c r="H17" i="35" s="1"/>
  <c r="H19" i="35" s="1"/>
  <c r="F17" i="35"/>
  <c r="F21" i="35" s="1"/>
  <c r="D25" i="21"/>
  <c r="B23" i="21"/>
  <c r="D23" i="21" s="1"/>
  <c r="K13" i="41"/>
  <c r="J17" i="41"/>
  <c r="E17" i="41"/>
  <c r="F17" i="41" s="1"/>
  <c r="E16" i="41"/>
  <c r="F16" i="41" s="1"/>
  <c r="E15" i="41"/>
  <c r="F15" i="41" s="1"/>
  <c r="E14" i="41"/>
  <c r="F14" i="41" s="1"/>
  <c r="J13" i="41"/>
  <c r="B2" i="41"/>
  <c r="B5" i="41" s="1"/>
  <c r="J41" i="40"/>
  <c r="E41" i="40"/>
  <c r="F41" i="40" s="1"/>
  <c r="E40" i="40"/>
  <c r="F40" i="40" s="1"/>
  <c r="E39" i="40"/>
  <c r="F39" i="40" s="1"/>
  <c r="E38" i="40"/>
  <c r="F38" i="40" s="1"/>
  <c r="K37" i="40"/>
  <c r="J37" i="40"/>
  <c r="J29" i="40"/>
  <c r="E29" i="40"/>
  <c r="F29" i="40" s="1"/>
  <c r="E28" i="40"/>
  <c r="F28" i="40" s="1"/>
  <c r="E27" i="40"/>
  <c r="F27" i="40" s="1"/>
  <c r="E26" i="40"/>
  <c r="K25" i="40"/>
  <c r="J25" i="40"/>
  <c r="J17" i="40"/>
  <c r="E17" i="40"/>
  <c r="F17" i="40" s="1"/>
  <c r="E16" i="40"/>
  <c r="F16" i="40" s="1"/>
  <c r="E15" i="40"/>
  <c r="F15" i="40" s="1"/>
  <c r="E14" i="40"/>
  <c r="F14" i="40" s="1"/>
  <c r="K13" i="40"/>
  <c r="J13" i="40"/>
  <c r="B2" i="40"/>
  <c r="B5" i="40" s="1"/>
  <c r="G3" i="40" s="1"/>
  <c r="G6" i="40" s="1"/>
  <c r="B2" i="26"/>
  <c r="B5" i="26" s="1"/>
  <c r="G5" i="26" s="1"/>
  <c r="B2" i="38"/>
  <c r="B5" i="38" s="1"/>
  <c r="J20" i="38"/>
  <c r="E20" i="38"/>
  <c r="F20" i="38" s="1"/>
  <c r="E19" i="38"/>
  <c r="F19" i="38" s="1"/>
  <c r="E18" i="38"/>
  <c r="F18" i="38" s="1"/>
  <c r="E17" i="38"/>
  <c r="F17" i="38" s="1"/>
  <c r="K16" i="38"/>
  <c r="J16" i="38"/>
  <c r="J59" i="38"/>
  <c r="E59" i="38"/>
  <c r="F59" i="38" s="1"/>
  <c r="E58" i="38"/>
  <c r="F58" i="38" s="1"/>
  <c r="E57" i="38"/>
  <c r="F57" i="38" s="1"/>
  <c r="E56" i="38"/>
  <c r="K55" i="38"/>
  <c r="J55" i="38"/>
  <c r="J47" i="38"/>
  <c r="E47" i="38"/>
  <c r="F47" i="38" s="1"/>
  <c r="E46" i="38"/>
  <c r="F46" i="38" s="1"/>
  <c r="E45" i="38"/>
  <c r="F45" i="38" s="1"/>
  <c r="E44" i="38"/>
  <c r="K43" i="38"/>
  <c r="J43" i="38"/>
  <c r="J35" i="38"/>
  <c r="E35" i="38"/>
  <c r="F35" i="38" s="1"/>
  <c r="E34" i="38"/>
  <c r="F34" i="38" s="1"/>
  <c r="E33" i="38"/>
  <c r="F33" i="38" s="1"/>
  <c r="E32" i="38"/>
  <c r="F32" i="38" s="1"/>
  <c r="K31" i="38"/>
  <c r="J31" i="38"/>
  <c r="B2" i="37"/>
  <c r="B5" i="37" s="1"/>
  <c r="G5" i="37" s="1"/>
  <c r="J19" i="37"/>
  <c r="E19" i="37"/>
  <c r="F19" i="37" s="1"/>
  <c r="E18" i="37"/>
  <c r="F18" i="37" s="1"/>
  <c r="E17" i="37"/>
  <c r="F17" i="37" s="1"/>
  <c r="E16" i="37"/>
  <c r="J15" i="37"/>
  <c r="J56" i="37"/>
  <c r="E56" i="37"/>
  <c r="F56" i="37" s="1"/>
  <c r="E55" i="37"/>
  <c r="F55" i="37" s="1"/>
  <c r="E54" i="37"/>
  <c r="F54" i="37" s="1"/>
  <c r="E53" i="37"/>
  <c r="F53" i="37" s="1"/>
  <c r="K52" i="37"/>
  <c r="J52" i="37"/>
  <c r="J44" i="37"/>
  <c r="E44" i="37"/>
  <c r="F44" i="37" s="1"/>
  <c r="E43" i="37"/>
  <c r="F43" i="37" s="1"/>
  <c r="E42" i="37"/>
  <c r="F42" i="37" s="1"/>
  <c r="E41" i="37"/>
  <c r="F41" i="37" s="1"/>
  <c r="K40" i="37"/>
  <c r="J40" i="37"/>
  <c r="J32" i="37"/>
  <c r="E32" i="37"/>
  <c r="F32" i="37" s="1"/>
  <c r="E31" i="37"/>
  <c r="F31" i="37" s="1"/>
  <c r="E30" i="37"/>
  <c r="F30" i="37" s="1"/>
  <c r="E29" i="37"/>
  <c r="F29" i="37" s="1"/>
  <c r="K28" i="37"/>
  <c r="J28" i="37"/>
  <c r="B2" i="36"/>
  <c r="B5" i="36" s="1"/>
  <c r="G5" i="36" s="1"/>
  <c r="J19" i="36"/>
  <c r="E19" i="36"/>
  <c r="F19" i="36" s="1"/>
  <c r="E18" i="36"/>
  <c r="F18" i="36" s="1"/>
  <c r="E17" i="36"/>
  <c r="F17" i="36" s="1"/>
  <c r="E16" i="36"/>
  <c r="K15" i="36"/>
  <c r="J15" i="36"/>
  <c r="J56" i="36"/>
  <c r="E56" i="36"/>
  <c r="F56" i="36" s="1"/>
  <c r="E55" i="36"/>
  <c r="F55" i="36" s="1"/>
  <c r="E54" i="36"/>
  <c r="F54" i="36" s="1"/>
  <c r="E53" i="36"/>
  <c r="F53" i="36" s="1"/>
  <c r="K52" i="36"/>
  <c r="J52" i="36"/>
  <c r="J44" i="36"/>
  <c r="E44" i="36"/>
  <c r="F44" i="36" s="1"/>
  <c r="E43" i="36"/>
  <c r="F43" i="36" s="1"/>
  <c r="E42" i="36"/>
  <c r="F42" i="36" s="1"/>
  <c r="E41" i="36"/>
  <c r="F41" i="36" s="1"/>
  <c r="K40" i="36"/>
  <c r="J40" i="36"/>
  <c r="J32" i="36"/>
  <c r="E32" i="36"/>
  <c r="F32" i="36" s="1"/>
  <c r="E31" i="36"/>
  <c r="F31" i="36" s="1"/>
  <c r="E30" i="36"/>
  <c r="F30" i="36" s="1"/>
  <c r="E29" i="36"/>
  <c r="F29" i="36" s="1"/>
  <c r="K28" i="36"/>
  <c r="J28" i="36"/>
  <c r="B2" i="35"/>
  <c r="B5" i="35" s="1"/>
  <c r="J35" i="35"/>
  <c r="E35" i="35"/>
  <c r="F35" i="35" s="1"/>
  <c r="E34" i="35"/>
  <c r="F34" i="35" s="1"/>
  <c r="E33" i="35"/>
  <c r="F33" i="35" s="1"/>
  <c r="E32" i="35"/>
  <c r="K31" i="35"/>
  <c r="J31" i="35"/>
  <c r="B2" i="34"/>
  <c r="B5" i="34" s="1"/>
  <c r="G5" i="34" s="1"/>
  <c r="J19" i="34"/>
  <c r="E19" i="34"/>
  <c r="F19" i="34" s="1"/>
  <c r="E18" i="34"/>
  <c r="F18" i="34" s="1"/>
  <c r="E17" i="34"/>
  <c r="F17" i="34" s="1"/>
  <c r="E16" i="34"/>
  <c r="K15" i="34"/>
  <c r="J15" i="34"/>
  <c r="J57" i="34"/>
  <c r="E57" i="34"/>
  <c r="F57" i="34" s="1"/>
  <c r="E56" i="34"/>
  <c r="F56" i="34" s="1"/>
  <c r="E55" i="34"/>
  <c r="F55" i="34" s="1"/>
  <c r="E54" i="34"/>
  <c r="K53" i="34"/>
  <c r="J53" i="34"/>
  <c r="J45" i="34"/>
  <c r="E45" i="34"/>
  <c r="F45" i="34" s="1"/>
  <c r="E44" i="34"/>
  <c r="F44" i="34" s="1"/>
  <c r="E43" i="34"/>
  <c r="F43" i="34" s="1"/>
  <c r="E42" i="34"/>
  <c r="F42" i="34" s="1"/>
  <c r="K41" i="34"/>
  <c r="J41" i="34"/>
  <c r="J33" i="34"/>
  <c r="E33" i="34"/>
  <c r="F33" i="34" s="1"/>
  <c r="E32" i="34"/>
  <c r="F32" i="34" s="1"/>
  <c r="E31" i="34"/>
  <c r="F31" i="34" s="1"/>
  <c r="E30" i="34"/>
  <c r="F30" i="34" s="1"/>
  <c r="K29" i="34"/>
  <c r="J29" i="34"/>
  <c r="B2" i="33"/>
  <c r="B5" i="33" s="1"/>
  <c r="G5" i="33" s="1"/>
  <c r="J19" i="33"/>
  <c r="E19" i="33"/>
  <c r="F19" i="33" s="1"/>
  <c r="E18" i="33"/>
  <c r="F18" i="33" s="1"/>
  <c r="E17" i="33"/>
  <c r="F17" i="33" s="1"/>
  <c r="E16" i="33"/>
  <c r="F16" i="33" s="1"/>
  <c r="K15" i="33"/>
  <c r="J15" i="33"/>
  <c r="J45" i="33"/>
  <c r="E45" i="33"/>
  <c r="F45" i="33" s="1"/>
  <c r="E44" i="33"/>
  <c r="F44" i="33" s="1"/>
  <c r="E43" i="33"/>
  <c r="F43" i="33" s="1"/>
  <c r="E42" i="33"/>
  <c r="K41" i="33"/>
  <c r="J41" i="33"/>
  <c r="J33" i="33"/>
  <c r="E33" i="33"/>
  <c r="F33" i="33" s="1"/>
  <c r="E32" i="33"/>
  <c r="F32" i="33" s="1"/>
  <c r="E31" i="33"/>
  <c r="F31" i="33" s="1"/>
  <c r="E30" i="33"/>
  <c r="F30" i="33" s="1"/>
  <c r="K29" i="33"/>
  <c r="J29" i="33"/>
  <c r="K30" i="32"/>
  <c r="B2" i="32"/>
  <c r="B5" i="32" s="1"/>
  <c r="F5" i="32" s="1"/>
  <c r="J20" i="32"/>
  <c r="E20" i="32"/>
  <c r="F20" i="32" s="1"/>
  <c r="E19" i="32"/>
  <c r="F19" i="32" s="1"/>
  <c r="E18" i="32"/>
  <c r="F18" i="32" s="1"/>
  <c r="E17" i="32"/>
  <c r="K16" i="32"/>
  <c r="J16" i="32"/>
  <c r="J64" i="32"/>
  <c r="E64" i="32"/>
  <c r="F64" i="32" s="1"/>
  <c r="E63" i="32"/>
  <c r="F63" i="32" s="1"/>
  <c r="E62" i="32"/>
  <c r="F62" i="32" s="1"/>
  <c r="E61" i="32"/>
  <c r="K60" i="32"/>
  <c r="J60" i="32"/>
  <c r="J46" i="32"/>
  <c r="E46" i="32"/>
  <c r="F46" i="32" s="1"/>
  <c r="E45" i="32"/>
  <c r="F45" i="32" s="1"/>
  <c r="E44" i="32"/>
  <c r="F44" i="32" s="1"/>
  <c r="E43" i="32"/>
  <c r="K42" i="32"/>
  <c r="J42" i="32"/>
  <c r="J34" i="32"/>
  <c r="E34" i="32"/>
  <c r="F34" i="32" s="1"/>
  <c r="E33" i="32"/>
  <c r="F33" i="32" s="1"/>
  <c r="E32" i="32"/>
  <c r="F32" i="32" s="1"/>
  <c r="E31" i="32"/>
  <c r="J30" i="32"/>
  <c r="K32" i="18"/>
  <c r="B2" i="18"/>
  <c r="B5" i="18" s="1"/>
  <c r="G5" i="18" s="1"/>
  <c r="G7" i="18" s="1"/>
  <c r="B2" i="6"/>
  <c r="B5" i="6" s="1"/>
  <c r="G5" i="6" s="1"/>
  <c r="B2" i="12"/>
  <c r="B5" i="12" s="1"/>
  <c r="G5" i="12" s="1"/>
  <c r="E65" i="6"/>
  <c r="F65" i="6" s="1"/>
  <c r="E64" i="6"/>
  <c r="F64" i="6" s="1"/>
  <c r="J65" i="6"/>
  <c r="E63" i="6"/>
  <c r="F63" i="6" s="1"/>
  <c r="E62" i="6"/>
  <c r="E55" i="6"/>
  <c r="F55" i="6" s="1"/>
  <c r="E54" i="6"/>
  <c r="F54" i="6" s="1"/>
  <c r="J55" i="6"/>
  <c r="E53" i="6"/>
  <c r="F53" i="6" s="1"/>
  <c r="E52" i="6"/>
  <c r="F52" i="6" s="1"/>
  <c r="E45" i="6"/>
  <c r="F45" i="6" s="1"/>
  <c r="E44" i="6"/>
  <c r="F44" i="6" s="1"/>
  <c r="J45" i="6"/>
  <c r="E43" i="6"/>
  <c r="F43" i="6" s="1"/>
  <c r="E42" i="6"/>
  <c r="E35" i="6"/>
  <c r="F35" i="6" s="1"/>
  <c r="E34" i="6"/>
  <c r="F34" i="6" s="1"/>
  <c r="J35" i="6"/>
  <c r="E33" i="6"/>
  <c r="F33" i="6" s="1"/>
  <c r="E32" i="6"/>
  <c r="F32" i="6" s="1"/>
  <c r="J15" i="12"/>
  <c r="K28" i="12"/>
  <c r="J19" i="12"/>
  <c r="E16" i="12"/>
  <c r="F16" i="12" s="1"/>
  <c r="J44" i="12"/>
  <c r="E44" i="12"/>
  <c r="F44" i="12" s="1"/>
  <c r="E43" i="12"/>
  <c r="F43" i="12" s="1"/>
  <c r="E42" i="12"/>
  <c r="F42" i="12" s="1"/>
  <c r="E41" i="12"/>
  <c r="J32" i="12"/>
  <c r="F32" i="12"/>
  <c r="F31" i="12"/>
  <c r="F30" i="12"/>
  <c r="J28" i="12"/>
  <c r="E64" i="9"/>
  <c r="F64" i="9" s="1"/>
  <c r="E63" i="9"/>
  <c r="E62" i="9"/>
  <c r="F62" i="9" s="1"/>
  <c r="E61" i="9"/>
  <c r="E52" i="9"/>
  <c r="E53" i="9"/>
  <c r="E54" i="9"/>
  <c r="F54" i="9" s="1"/>
  <c r="E40" i="9"/>
  <c r="E41" i="9"/>
  <c r="F41" i="9" s="1"/>
  <c r="E42" i="9"/>
  <c r="F42" i="9" s="1"/>
  <c r="E30" i="9"/>
  <c r="F30" i="9" s="1"/>
  <c r="E31" i="9"/>
  <c r="F31" i="9" s="1"/>
  <c r="E32" i="9"/>
  <c r="F32" i="9" s="1"/>
  <c r="F19" i="9"/>
  <c r="J19" i="9"/>
  <c r="F18" i="9"/>
  <c r="F17" i="9"/>
  <c r="E51" i="9"/>
  <c r="F51" i="9" s="1"/>
  <c r="E39" i="9"/>
  <c r="F39" i="9" s="1"/>
  <c r="J32" i="9"/>
  <c r="F28" i="9"/>
  <c r="B4" i="9"/>
  <c r="E4" i="9" s="1"/>
  <c r="E7" i="9" s="1"/>
  <c r="E32" i="11"/>
  <c r="H29" i="11" s="1"/>
  <c r="J19" i="11"/>
  <c r="K16" i="11"/>
  <c r="J63" i="11"/>
  <c r="E60" i="11"/>
  <c r="E64" i="11" s="1"/>
  <c r="H62" i="11" s="1"/>
  <c r="J62" i="11" s="1"/>
  <c r="J51" i="11"/>
  <c r="E48" i="11"/>
  <c r="F48" i="11" s="1"/>
  <c r="J31" i="11"/>
  <c r="F28" i="11"/>
  <c r="B4" i="11"/>
  <c r="J42" i="26"/>
  <c r="E42" i="26"/>
  <c r="F42" i="26" s="1"/>
  <c r="E41" i="26"/>
  <c r="F41" i="26" s="1"/>
  <c r="E40" i="26"/>
  <c r="F40" i="26" s="1"/>
  <c r="E39" i="26"/>
  <c r="F39" i="26" s="1"/>
  <c r="K38" i="26"/>
  <c r="J38" i="26"/>
  <c r="J30" i="26"/>
  <c r="E30" i="26"/>
  <c r="F30" i="26" s="1"/>
  <c r="E29" i="26"/>
  <c r="F29" i="26" s="1"/>
  <c r="E28" i="26"/>
  <c r="F28" i="26" s="1"/>
  <c r="E27" i="26"/>
  <c r="K26" i="26"/>
  <c r="J26" i="26"/>
  <c r="J18" i="26"/>
  <c r="E18" i="26"/>
  <c r="F18" i="26" s="1"/>
  <c r="E17" i="26"/>
  <c r="F17" i="26" s="1"/>
  <c r="E16" i="26"/>
  <c r="F16" i="26" s="1"/>
  <c r="E15" i="26"/>
  <c r="J14" i="26"/>
  <c r="C95" i="49" l="1"/>
  <c r="D94" i="49"/>
  <c r="K141" i="9"/>
  <c r="F20" i="9"/>
  <c r="F21" i="9" s="1"/>
  <c r="K131" i="9"/>
  <c r="K81" i="9"/>
  <c r="K111" i="9"/>
  <c r="K71" i="9"/>
  <c r="K101" i="9"/>
  <c r="K91" i="9"/>
  <c r="K121" i="9"/>
  <c r="F63" i="9"/>
  <c r="F53" i="9"/>
  <c r="K15" i="43"/>
  <c r="K21" i="43" s="1"/>
  <c r="G45" i="43"/>
  <c r="G46" i="43" s="1"/>
  <c r="K30" i="43"/>
  <c r="H42" i="43"/>
  <c r="K42" i="43"/>
  <c r="K54" i="43"/>
  <c r="K60" i="43" s="1"/>
  <c r="B95" i="43" s="1"/>
  <c r="G7" i="41"/>
  <c r="K12" i="41" s="1"/>
  <c r="J54" i="43"/>
  <c r="J60" i="43" s="1"/>
  <c r="C95" i="43" s="1"/>
  <c r="C96" i="43" s="1"/>
  <c r="C97" i="43" s="1"/>
  <c r="C98" i="43" s="1"/>
  <c r="C99" i="43" s="1"/>
  <c r="B7" i="35"/>
  <c r="G5" i="35"/>
  <c r="G7" i="35" s="1"/>
  <c r="G4" i="11"/>
  <c r="G6" i="11" s="1"/>
  <c r="D41" i="1" s="1"/>
  <c r="E45" i="12"/>
  <c r="H41" i="12" s="1"/>
  <c r="J41" i="12" s="1"/>
  <c r="B7" i="38"/>
  <c r="G5" i="38"/>
  <c r="G7" i="38" s="1"/>
  <c r="B7" i="18"/>
  <c r="H30" i="43"/>
  <c r="F37" i="43"/>
  <c r="H33" i="43" s="1"/>
  <c r="H54" i="43"/>
  <c r="F61" i="43"/>
  <c r="H57" i="43" s="1"/>
  <c r="J42" i="43"/>
  <c r="J48" i="43" s="1"/>
  <c r="J49" i="43" s="1"/>
  <c r="K48" i="43"/>
  <c r="F49" i="43"/>
  <c r="H45" i="43" s="1"/>
  <c r="J30" i="43"/>
  <c r="J36" i="43" s="1"/>
  <c r="K36" i="43"/>
  <c r="P4" i="42" s="1"/>
  <c r="H15" i="43"/>
  <c r="J15" i="43"/>
  <c r="J21" i="43" s="1"/>
  <c r="F22" i="43"/>
  <c r="H18" i="43" s="1"/>
  <c r="H20" i="6"/>
  <c r="E52" i="11"/>
  <c r="H49" i="11" s="1"/>
  <c r="J49" i="11" s="1"/>
  <c r="E20" i="11"/>
  <c r="H18" i="11" s="1"/>
  <c r="J18" i="11" s="1"/>
  <c r="E21" i="32"/>
  <c r="H17" i="32" s="1"/>
  <c r="H19" i="32" s="1"/>
  <c r="E60" i="38"/>
  <c r="H56" i="38" s="1"/>
  <c r="H58" i="38" s="1"/>
  <c r="F56" i="38"/>
  <c r="F60" i="38" s="1"/>
  <c r="F76" i="38" s="1"/>
  <c r="F78" i="38" s="1"/>
  <c r="F79" i="38" s="1"/>
  <c r="F80" i="38" s="1"/>
  <c r="F82" i="38" s="1"/>
  <c r="E48" i="38"/>
  <c r="H44" i="38" s="1"/>
  <c r="H46" i="38" s="1"/>
  <c r="E36" i="38"/>
  <c r="H32" i="38" s="1"/>
  <c r="H34" i="38" s="1"/>
  <c r="F57" i="37"/>
  <c r="F76" i="37" s="1"/>
  <c r="F78" i="37" s="1"/>
  <c r="F79" i="37" s="1"/>
  <c r="F80" i="37" s="1"/>
  <c r="F82" i="37" s="1"/>
  <c r="E20" i="37"/>
  <c r="H16" i="37" s="1"/>
  <c r="H18" i="37" s="1"/>
  <c r="E20" i="36"/>
  <c r="H16" i="36" s="1"/>
  <c r="H18" i="36" s="1"/>
  <c r="E36" i="35"/>
  <c r="H32" i="35" s="1"/>
  <c r="H34" i="35" s="1"/>
  <c r="F22" i="35"/>
  <c r="H18" i="35" s="1"/>
  <c r="H15" i="35"/>
  <c r="F32" i="35"/>
  <c r="F36" i="35" s="1"/>
  <c r="F52" i="35" s="1"/>
  <c r="F54" i="35" s="1"/>
  <c r="F55" i="35" s="1"/>
  <c r="F56" i="35" s="1"/>
  <c r="F58" i="35" s="1"/>
  <c r="E20" i="34"/>
  <c r="H16" i="34" s="1"/>
  <c r="H18" i="34" s="1"/>
  <c r="E34" i="34"/>
  <c r="H30" i="34" s="1"/>
  <c r="H32" i="34" s="1"/>
  <c r="E46" i="34"/>
  <c r="H42" i="34" s="1"/>
  <c r="H44" i="34" s="1"/>
  <c r="E58" i="34"/>
  <c r="H54" i="34" s="1"/>
  <c r="H56" i="34" s="1"/>
  <c r="F54" i="34"/>
  <c r="F58" i="34" s="1"/>
  <c r="F73" i="34" s="1"/>
  <c r="F75" i="34" s="1"/>
  <c r="F76" i="34" s="1"/>
  <c r="F77" i="34" s="1"/>
  <c r="F79" i="34" s="1"/>
  <c r="E46" i="33"/>
  <c r="H42" i="33" s="1"/>
  <c r="H44" i="33" s="1"/>
  <c r="E65" i="32"/>
  <c r="H61" i="32" s="1"/>
  <c r="H63" i="32" s="1"/>
  <c r="E47" i="32"/>
  <c r="H43" i="32" s="1"/>
  <c r="H45" i="32" s="1"/>
  <c r="F61" i="32"/>
  <c r="F65" i="32" s="1"/>
  <c r="E35" i="32"/>
  <c r="H31" i="32" s="1"/>
  <c r="H33" i="32" s="1"/>
  <c r="F31" i="32"/>
  <c r="F35" i="32" s="1"/>
  <c r="E66" i="6"/>
  <c r="H64" i="6" s="1"/>
  <c r="J64" i="6" s="1"/>
  <c r="F62" i="6"/>
  <c r="F66" i="6" s="1"/>
  <c r="F77" i="6" s="1"/>
  <c r="F79" i="6" s="1"/>
  <c r="F80" i="6" s="1"/>
  <c r="F81" i="6" s="1"/>
  <c r="F83" i="6" s="1"/>
  <c r="E56" i="6"/>
  <c r="H54" i="6" s="1"/>
  <c r="J54" i="6" s="1"/>
  <c r="E43" i="9"/>
  <c r="E20" i="9"/>
  <c r="H18" i="9" s="1"/>
  <c r="J18" i="9" s="1"/>
  <c r="E55" i="9"/>
  <c r="H53" i="9" s="1"/>
  <c r="J53" i="9" s="1"/>
  <c r="J29" i="11"/>
  <c r="H30" i="11"/>
  <c r="J30" i="11" s="1"/>
  <c r="B7" i="41"/>
  <c r="F18" i="41"/>
  <c r="E18" i="41"/>
  <c r="H14" i="41" s="1"/>
  <c r="H16" i="41" s="1"/>
  <c r="E30" i="40"/>
  <c r="H26" i="40" s="1"/>
  <c r="H28" i="40" s="1"/>
  <c r="F18" i="40"/>
  <c r="K12" i="40" s="1"/>
  <c r="B7" i="40"/>
  <c r="F42" i="40"/>
  <c r="F26" i="40"/>
  <c r="F30" i="40" s="1"/>
  <c r="K24" i="40" s="1"/>
  <c r="E18" i="40"/>
  <c r="H14" i="40" s="1"/>
  <c r="H16" i="40" s="1"/>
  <c r="E42" i="40"/>
  <c r="H38" i="40" s="1"/>
  <c r="H40" i="40" s="1"/>
  <c r="B7" i="26"/>
  <c r="G7" i="26"/>
  <c r="F36" i="38"/>
  <c r="F21" i="38"/>
  <c r="E21" i="38"/>
  <c r="H17" i="38" s="1"/>
  <c r="H19" i="38" s="1"/>
  <c r="F44" i="38"/>
  <c r="F48" i="38" s="1"/>
  <c r="B7" i="37"/>
  <c r="G7" i="37"/>
  <c r="F45" i="37"/>
  <c r="K39" i="37" s="1"/>
  <c r="F33" i="37"/>
  <c r="K27" i="37" s="1"/>
  <c r="E45" i="37"/>
  <c r="H41" i="37" s="1"/>
  <c r="H43" i="37" s="1"/>
  <c r="F16" i="37"/>
  <c r="F20" i="37" s="1"/>
  <c r="K14" i="37" s="1"/>
  <c r="E33" i="37"/>
  <c r="H29" i="37" s="1"/>
  <c r="H31" i="37" s="1"/>
  <c r="E57" i="37"/>
  <c r="H53" i="37" s="1"/>
  <c r="H55" i="37" s="1"/>
  <c r="F57" i="36"/>
  <c r="F73" i="36" s="1"/>
  <c r="F75" i="36" s="1"/>
  <c r="F76" i="36" s="1"/>
  <c r="F77" i="36" s="1"/>
  <c r="F79" i="36" s="1"/>
  <c r="F45" i="36"/>
  <c r="B7" i="36"/>
  <c r="G7" i="36"/>
  <c r="F33" i="36"/>
  <c r="E45" i="36"/>
  <c r="H41" i="36" s="1"/>
  <c r="H43" i="36" s="1"/>
  <c r="F16" i="36"/>
  <c r="F20" i="36" s="1"/>
  <c r="E33" i="36"/>
  <c r="H29" i="36" s="1"/>
  <c r="H31" i="36" s="1"/>
  <c r="E57" i="36"/>
  <c r="H53" i="36" s="1"/>
  <c r="H55" i="36" s="1"/>
  <c r="B7" i="34"/>
  <c r="G7" i="34"/>
  <c r="F46" i="34"/>
  <c r="F34" i="34"/>
  <c r="F16" i="34"/>
  <c r="F20" i="34" s="1"/>
  <c r="B7" i="33"/>
  <c r="G7" i="33"/>
  <c r="F34" i="33"/>
  <c r="F20" i="33"/>
  <c r="K14" i="33" s="1"/>
  <c r="E20" i="33"/>
  <c r="H16" i="33" s="1"/>
  <c r="H18" i="33" s="1"/>
  <c r="F42" i="33"/>
  <c r="F46" i="33" s="1"/>
  <c r="F73" i="33" s="1"/>
  <c r="F75" i="33" s="1"/>
  <c r="F76" i="33" s="1"/>
  <c r="F77" i="33" s="1"/>
  <c r="F79" i="33" s="1"/>
  <c r="E34" i="33"/>
  <c r="H30" i="33" s="1"/>
  <c r="H32" i="33" s="1"/>
  <c r="B7" i="32"/>
  <c r="F7" i="32"/>
  <c r="K95" i="32" s="1"/>
  <c r="K101" i="32" s="1"/>
  <c r="F43" i="32"/>
  <c r="F47" i="32" s="1"/>
  <c r="F17" i="32"/>
  <c r="F21" i="32" s="1"/>
  <c r="B7" i="6"/>
  <c r="J20" i="6" s="1"/>
  <c r="J24" i="6" s="1"/>
  <c r="E33" i="12"/>
  <c r="H29" i="12" s="1"/>
  <c r="H31" i="12" s="1"/>
  <c r="J31" i="12" s="1"/>
  <c r="E20" i="12"/>
  <c r="H16" i="12" s="1"/>
  <c r="E46" i="6"/>
  <c r="H43" i="6" s="1"/>
  <c r="J43" i="6" s="1"/>
  <c r="F56" i="6"/>
  <c r="G7" i="6"/>
  <c r="K20" i="6" s="1"/>
  <c r="F36" i="6"/>
  <c r="F42" i="6"/>
  <c r="F46" i="6" s="1"/>
  <c r="K42" i="6" s="1"/>
  <c r="E36" i="6"/>
  <c r="H33" i="6" s="1"/>
  <c r="F20" i="12"/>
  <c r="B7" i="12"/>
  <c r="J51" i="12" s="1"/>
  <c r="J57" i="12" s="1"/>
  <c r="J58" i="12" s="1"/>
  <c r="F41" i="12"/>
  <c r="F45" i="12" s="1"/>
  <c r="F73" i="12" s="1"/>
  <c r="F75" i="12" s="1"/>
  <c r="F76" i="12" s="1"/>
  <c r="F77" i="12" s="1"/>
  <c r="F79" i="12" s="1"/>
  <c r="G7" i="12"/>
  <c r="K51" i="12" s="1"/>
  <c r="K57" i="12" s="1"/>
  <c r="F29" i="12"/>
  <c r="F33" i="12" s="1"/>
  <c r="E65" i="9"/>
  <c r="H63" i="9" s="1"/>
  <c r="J63" i="9" s="1"/>
  <c r="F61" i="9"/>
  <c r="F40" i="9"/>
  <c r="F43" i="9" s="1"/>
  <c r="F52" i="9"/>
  <c r="E33" i="9"/>
  <c r="F33" i="9"/>
  <c r="K29" i="9" s="1"/>
  <c r="B6" i="9"/>
  <c r="F52" i="11"/>
  <c r="K48" i="11" s="1"/>
  <c r="F32" i="11"/>
  <c r="K28" i="11" s="1"/>
  <c r="B6" i="11"/>
  <c r="F20" i="11"/>
  <c r="K15" i="11" s="1"/>
  <c r="F60" i="11"/>
  <c r="F64" i="11" s="1"/>
  <c r="K60" i="11" s="1"/>
  <c r="F43" i="26"/>
  <c r="F59" i="26" s="1"/>
  <c r="F61" i="26" s="1"/>
  <c r="F62" i="26" s="1"/>
  <c r="F63" i="26" s="1"/>
  <c r="F65" i="26" s="1"/>
  <c r="E31" i="26"/>
  <c r="H27" i="26" s="1"/>
  <c r="J27" i="26" s="1"/>
  <c r="E19" i="26"/>
  <c r="H15" i="26" s="1"/>
  <c r="J15" i="26" s="1"/>
  <c r="E43" i="26"/>
  <c r="H39" i="26" s="1"/>
  <c r="F15" i="26"/>
  <c r="F19" i="26" s="1"/>
  <c r="F27" i="26"/>
  <c r="F31" i="26" s="1"/>
  <c r="N57" i="12" l="1"/>
  <c r="K58" i="12"/>
  <c r="C96" i="49"/>
  <c r="D96" i="49" s="1"/>
  <c r="D95" i="49"/>
  <c r="J141" i="9"/>
  <c r="J145" i="9" s="1"/>
  <c r="K16" i="9"/>
  <c r="K20" i="9" s="1"/>
  <c r="F65" i="9"/>
  <c r="K61" i="9" s="1"/>
  <c r="J131" i="9"/>
  <c r="J135" i="9" s="1"/>
  <c r="J81" i="9"/>
  <c r="J85" i="9" s="1"/>
  <c r="J71" i="9"/>
  <c r="J75" i="9" s="1"/>
  <c r="J101" i="9"/>
  <c r="J105" i="9" s="1"/>
  <c r="J111" i="9"/>
  <c r="J115" i="9" s="1"/>
  <c r="J121" i="9"/>
  <c r="J125" i="9" s="1"/>
  <c r="J91" i="9"/>
  <c r="J95" i="9" s="1"/>
  <c r="F55" i="9"/>
  <c r="H51" i="9" s="1"/>
  <c r="H30" i="9"/>
  <c r="J30" i="9" s="1"/>
  <c r="H40" i="9"/>
  <c r="J40" i="9" s="1"/>
  <c r="B96" i="43"/>
  <c r="D96" i="43" s="1"/>
  <c r="B97" i="43"/>
  <c r="D97" i="43" s="1"/>
  <c r="B98" i="43"/>
  <c r="D98" i="43" s="1"/>
  <c r="D95" i="43"/>
  <c r="B99" i="43"/>
  <c r="D99" i="43" s="1"/>
  <c r="N101" i="32"/>
  <c r="B113" i="32" s="1"/>
  <c r="K102" i="32"/>
  <c r="K32" i="6"/>
  <c r="K52" i="6"/>
  <c r="K24" i="6"/>
  <c r="N24" i="6" s="1"/>
  <c r="K62" i="6"/>
  <c r="H62" i="6"/>
  <c r="K67" i="6" s="1"/>
  <c r="K27" i="12"/>
  <c r="K14" i="12"/>
  <c r="K39" i="12"/>
  <c r="K25" i="26"/>
  <c r="K13" i="26"/>
  <c r="K19" i="26" s="1"/>
  <c r="P13" i="42" s="1"/>
  <c r="F44" i="26"/>
  <c r="H40" i="26" s="1"/>
  <c r="J40" i="26" s="1"/>
  <c r="K37" i="26"/>
  <c r="K30" i="38"/>
  <c r="K54" i="38"/>
  <c r="K42" i="38"/>
  <c r="K15" i="38"/>
  <c r="K28" i="43"/>
  <c r="N21" i="43"/>
  <c r="J22" i="43"/>
  <c r="H51" i="37"/>
  <c r="K51" i="37"/>
  <c r="K39" i="36"/>
  <c r="K14" i="36"/>
  <c r="K27" i="36"/>
  <c r="F58" i="36"/>
  <c r="H54" i="36" s="1"/>
  <c r="K51" i="36"/>
  <c r="K57" i="36" s="1"/>
  <c r="K15" i="35"/>
  <c r="K21" i="35" s="1"/>
  <c r="K30" i="35"/>
  <c r="K40" i="34"/>
  <c r="K52" i="34"/>
  <c r="G43" i="34"/>
  <c r="K28" i="34"/>
  <c r="K14" i="34"/>
  <c r="K83" i="32"/>
  <c r="K89" i="32" s="1"/>
  <c r="K71" i="32"/>
  <c r="K77" i="32" s="1"/>
  <c r="J83" i="32"/>
  <c r="J89" i="32" s="1"/>
  <c r="J90" i="32" s="1"/>
  <c r="J71" i="32"/>
  <c r="J77" i="32" s="1"/>
  <c r="J78" i="32" s="1"/>
  <c r="K28" i="33"/>
  <c r="K40" i="33"/>
  <c r="K59" i="32"/>
  <c r="K65" i="32" s="1"/>
  <c r="K41" i="32"/>
  <c r="K15" i="32"/>
  <c r="K29" i="32"/>
  <c r="K35" i="32" s="1"/>
  <c r="K16" i="42" s="1"/>
  <c r="K36" i="40"/>
  <c r="F44" i="9"/>
  <c r="K39" i="9"/>
  <c r="J61" i="43"/>
  <c r="K20" i="11"/>
  <c r="K22" i="43"/>
  <c r="H53" i="6"/>
  <c r="J53" i="6" s="1"/>
  <c r="H43" i="12"/>
  <c r="J43" i="12" s="1"/>
  <c r="J42" i="38"/>
  <c r="J48" i="38" s="1"/>
  <c r="D37" i="1"/>
  <c r="J54" i="38"/>
  <c r="J60" i="38" s="1"/>
  <c r="J15" i="38"/>
  <c r="J21" i="38" s="1"/>
  <c r="K49" i="43"/>
  <c r="P5" i="42"/>
  <c r="N60" i="43"/>
  <c r="B77" i="43" s="1"/>
  <c r="P6" i="42"/>
  <c r="H39" i="36"/>
  <c r="H51" i="36"/>
  <c r="H29" i="9"/>
  <c r="F34" i="9"/>
  <c r="K37" i="43"/>
  <c r="J37" i="43"/>
  <c r="K61" i="43"/>
  <c r="N48" i="43"/>
  <c r="N36" i="43"/>
  <c r="J25" i="6"/>
  <c r="H63" i="6"/>
  <c r="J63" i="6" s="1"/>
  <c r="H41" i="9"/>
  <c r="J41" i="9" s="1"/>
  <c r="H52" i="9"/>
  <c r="J52" i="9" s="1"/>
  <c r="H17" i="9"/>
  <c r="J17" i="9" s="1"/>
  <c r="H50" i="11"/>
  <c r="J50" i="11" s="1"/>
  <c r="H17" i="11"/>
  <c r="J17" i="11" s="1"/>
  <c r="J15" i="35"/>
  <c r="J21" i="35" s="1"/>
  <c r="J22" i="35" s="1"/>
  <c r="J29" i="12"/>
  <c r="J25" i="26"/>
  <c r="F58" i="37"/>
  <c r="F36" i="32"/>
  <c r="H32" i="32" s="1"/>
  <c r="H29" i="32"/>
  <c r="J15" i="32"/>
  <c r="H44" i="6"/>
  <c r="J44" i="6" s="1"/>
  <c r="H39" i="9"/>
  <c r="J12" i="41"/>
  <c r="J18" i="41" s="1"/>
  <c r="F19" i="41"/>
  <c r="H15" i="41" s="1"/>
  <c r="H12" i="41"/>
  <c r="F31" i="40"/>
  <c r="H27" i="40" s="1"/>
  <c r="H24" i="40"/>
  <c r="H36" i="40"/>
  <c r="F43" i="40"/>
  <c r="H39" i="40" s="1"/>
  <c r="J36" i="40"/>
  <c r="J42" i="40" s="1"/>
  <c r="J24" i="40"/>
  <c r="J30" i="40" s="1"/>
  <c r="J12" i="40"/>
  <c r="J18" i="40" s="1"/>
  <c r="F19" i="40"/>
  <c r="H15" i="40" s="1"/>
  <c r="H12" i="40"/>
  <c r="F37" i="38"/>
  <c r="H33" i="38" s="1"/>
  <c r="J30" i="38"/>
  <c r="J36" i="38" s="1"/>
  <c r="H30" i="38"/>
  <c r="F49" i="38"/>
  <c r="H45" i="38" s="1"/>
  <c r="H42" i="38"/>
  <c r="F61" i="38"/>
  <c r="H57" i="38" s="1"/>
  <c r="H54" i="38"/>
  <c r="F22" i="38"/>
  <c r="H18" i="38" s="1"/>
  <c r="H15" i="38"/>
  <c r="J27" i="37"/>
  <c r="J33" i="37" s="1"/>
  <c r="J94" i="37" s="1"/>
  <c r="J95" i="37" s="1"/>
  <c r="J96" i="37" s="1"/>
  <c r="J97" i="37" s="1"/>
  <c r="J98" i="37" s="1"/>
  <c r="F34" i="37"/>
  <c r="H30" i="37" s="1"/>
  <c r="H27" i="37"/>
  <c r="F46" i="37"/>
  <c r="H42" i="37" s="1"/>
  <c r="H39" i="37"/>
  <c r="F21" i="37"/>
  <c r="H17" i="37" s="1"/>
  <c r="H14" i="37"/>
  <c r="J14" i="37"/>
  <c r="J20" i="37" s="1"/>
  <c r="J39" i="37"/>
  <c r="J45" i="37" s="1"/>
  <c r="J51" i="37"/>
  <c r="J57" i="37" s="1"/>
  <c r="F46" i="36"/>
  <c r="H42" i="36" s="1"/>
  <c r="J27" i="36"/>
  <c r="J33" i="36" s="1"/>
  <c r="F34" i="36"/>
  <c r="H30" i="36" s="1"/>
  <c r="H27" i="36"/>
  <c r="J51" i="36"/>
  <c r="J57" i="36" s="1"/>
  <c r="J14" i="36"/>
  <c r="J20" i="36" s="1"/>
  <c r="J39" i="36"/>
  <c r="J45" i="36" s="1"/>
  <c r="F21" i="36"/>
  <c r="H17" i="36" s="1"/>
  <c r="H14" i="36"/>
  <c r="J30" i="35"/>
  <c r="J36" i="35" s="1"/>
  <c r="F37" i="35"/>
  <c r="H30" i="35"/>
  <c r="F21" i="34"/>
  <c r="H17" i="34" s="1"/>
  <c r="H14" i="34"/>
  <c r="J28" i="34"/>
  <c r="J34" i="34" s="1"/>
  <c r="F35" i="34"/>
  <c r="H31" i="34" s="1"/>
  <c r="H28" i="34"/>
  <c r="F59" i="34"/>
  <c r="H55" i="34" s="1"/>
  <c r="H52" i="34"/>
  <c r="F47" i="34"/>
  <c r="H40" i="34"/>
  <c r="J52" i="34"/>
  <c r="J58" i="34" s="1"/>
  <c r="J14" i="34"/>
  <c r="J20" i="34" s="1"/>
  <c r="J40" i="34"/>
  <c r="J46" i="34" s="1"/>
  <c r="J14" i="33"/>
  <c r="J20" i="33" s="1"/>
  <c r="J40" i="33"/>
  <c r="J46" i="33" s="1"/>
  <c r="C91" i="33" s="1"/>
  <c r="C92" i="33" s="1"/>
  <c r="C93" i="33" s="1"/>
  <c r="C94" i="33" s="1"/>
  <c r="C95" i="33" s="1"/>
  <c r="F47" i="33"/>
  <c r="H43" i="33" s="1"/>
  <c r="H40" i="33"/>
  <c r="F21" i="33"/>
  <c r="H17" i="33" s="1"/>
  <c r="H14" i="33"/>
  <c r="J28" i="33"/>
  <c r="J34" i="33" s="1"/>
  <c r="I91" i="33" s="1"/>
  <c r="I92" i="33" s="1"/>
  <c r="I93" i="33" s="1"/>
  <c r="I94" i="33" s="1"/>
  <c r="I95" i="33" s="1"/>
  <c r="F35" i="33"/>
  <c r="H31" i="33" s="1"/>
  <c r="H28" i="33"/>
  <c r="F22" i="32"/>
  <c r="H18" i="32" s="1"/>
  <c r="H15" i="32"/>
  <c r="F48" i="32"/>
  <c r="H44" i="32" s="1"/>
  <c r="H41" i="32"/>
  <c r="J41" i="32"/>
  <c r="J47" i="32" s="1"/>
  <c r="J59" i="32"/>
  <c r="J65" i="32" s="1"/>
  <c r="F66" i="32"/>
  <c r="H59" i="32"/>
  <c r="J29" i="32"/>
  <c r="J35" i="32" s="1"/>
  <c r="J14" i="12"/>
  <c r="J39" i="12"/>
  <c r="J62" i="6"/>
  <c r="F67" i="6"/>
  <c r="H52" i="6"/>
  <c r="K57" i="6" s="1"/>
  <c r="F57" i="6"/>
  <c r="J52" i="6"/>
  <c r="J42" i="6"/>
  <c r="H32" i="6"/>
  <c r="H42" i="6"/>
  <c r="J33" i="6"/>
  <c r="H34" i="6"/>
  <c r="J34" i="6" s="1"/>
  <c r="J32" i="6"/>
  <c r="H14" i="12"/>
  <c r="F21" i="12"/>
  <c r="H17" i="12" s="1"/>
  <c r="J17" i="12" s="1"/>
  <c r="F46" i="12"/>
  <c r="H42" i="12" s="1"/>
  <c r="J42" i="12" s="1"/>
  <c r="H39" i="12"/>
  <c r="H18" i="12"/>
  <c r="J18" i="12" s="1"/>
  <c r="J16" i="12"/>
  <c r="F34" i="12"/>
  <c r="H30" i="12" s="1"/>
  <c r="J30" i="12" s="1"/>
  <c r="J27" i="12"/>
  <c r="H27" i="12"/>
  <c r="H62" i="9"/>
  <c r="J62" i="9" s="1"/>
  <c r="H16" i="9"/>
  <c r="J39" i="9"/>
  <c r="J16" i="9"/>
  <c r="J29" i="9"/>
  <c r="J48" i="11"/>
  <c r="J28" i="11"/>
  <c r="H48" i="11"/>
  <c r="H15" i="11"/>
  <c r="J60" i="11"/>
  <c r="J15" i="11"/>
  <c r="F65" i="11"/>
  <c r="H61" i="11" s="1"/>
  <c r="J61" i="11" s="1"/>
  <c r="H60" i="11"/>
  <c r="H28" i="11"/>
  <c r="J37" i="26"/>
  <c r="H37" i="26"/>
  <c r="H29" i="26"/>
  <c r="J29" i="26" s="1"/>
  <c r="H17" i="26"/>
  <c r="J17" i="26" s="1"/>
  <c r="H25" i="26"/>
  <c r="F32" i="26"/>
  <c r="H28" i="26" s="1"/>
  <c r="J28" i="26" s="1"/>
  <c r="H13" i="26"/>
  <c r="F20" i="26"/>
  <c r="H16" i="26" s="1"/>
  <c r="J16" i="26" s="1"/>
  <c r="H41" i="26"/>
  <c r="J41" i="26" s="1"/>
  <c r="J39" i="26"/>
  <c r="J13" i="26"/>
  <c r="N145" i="9" l="1"/>
  <c r="J146" i="9"/>
  <c r="H61" i="9"/>
  <c r="K66" i="9" s="1"/>
  <c r="J61" i="9"/>
  <c r="J65" i="9" s="1"/>
  <c r="C174" i="9" s="1"/>
  <c r="F66" i="9"/>
  <c r="H31" i="9"/>
  <c r="J31" i="9" s="1"/>
  <c r="F156" i="9"/>
  <c r="F158" i="9" s="1"/>
  <c r="F159" i="9" s="1"/>
  <c r="F160" i="9" s="1"/>
  <c r="F162" i="9" s="1"/>
  <c r="J96" i="9"/>
  <c r="N95" i="9"/>
  <c r="F56" i="9"/>
  <c r="K51" i="9"/>
  <c r="J106" i="9"/>
  <c r="N105" i="9"/>
  <c r="N75" i="9"/>
  <c r="J76" i="9"/>
  <c r="J51" i="9"/>
  <c r="J55" i="9" s="1"/>
  <c r="J56" i="9" s="1"/>
  <c r="N135" i="9"/>
  <c r="J136" i="9"/>
  <c r="J126" i="9"/>
  <c r="N125" i="9"/>
  <c r="J86" i="9"/>
  <c r="N85" i="9"/>
  <c r="N115" i="9"/>
  <c r="J116" i="9"/>
  <c r="J56" i="6"/>
  <c r="J57" i="6" s="1"/>
  <c r="K25" i="6"/>
  <c r="K33" i="12"/>
  <c r="J58" i="37"/>
  <c r="K90" i="32"/>
  <c r="N89" i="32"/>
  <c r="N77" i="32"/>
  <c r="K78" i="32"/>
  <c r="J33" i="9"/>
  <c r="J43" i="9"/>
  <c r="J44" i="9" s="1"/>
  <c r="J22" i="38"/>
  <c r="K36" i="38"/>
  <c r="P8" i="42" s="1"/>
  <c r="K21" i="38"/>
  <c r="N21" i="38" s="1"/>
  <c r="K60" i="38"/>
  <c r="P10" i="42" s="1"/>
  <c r="J49" i="38"/>
  <c r="K48" i="38"/>
  <c r="P9" i="42" s="1"/>
  <c r="K45" i="12"/>
  <c r="D51" i="1"/>
  <c r="K20" i="12"/>
  <c r="K21" i="12" s="1"/>
  <c r="J61" i="38"/>
  <c r="K34" i="9"/>
  <c r="K31" i="26"/>
  <c r="P14" i="42" s="1"/>
  <c r="E37" i="1"/>
  <c r="H54" i="37"/>
  <c r="J46" i="36"/>
  <c r="J58" i="36"/>
  <c r="H33" i="35"/>
  <c r="H43" i="34"/>
  <c r="H62" i="32"/>
  <c r="J36" i="32"/>
  <c r="K43" i="26"/>
  <c r="P15" i="42" s="1"/>
  <c r="J46" i="6"/>
  <c r="J47" i="6" s="1"/>
  <c r="J36" i="6"/>
  <c r="N36" i="6" s="1"/>
  <c r="J66" i="6"/>
  <c r="J67" i="6" s="1"/>
  <c r="J20" i="9"/>
  <c r="K56" i="9"/>
  <c r="K44" i="9"/>
  <c r="N21" i="35"/>
  <c r="K22" i="35"/>
  <c r="J37" i="38"/>
  <c r="K58" i="36"/>
  <c r="K35" i="42"/>
  <c r="J37" i="35"/>
  <c r="J47" i="34"/>
  <c r="E17" i="1"/>
  <c r="D17" i="1"/>
  <c r="K57" i="37"/>
  <c r="D32" i="1"/>
  <c r="E16" i="1"/>
  <c r="D16" i="1"/>
  <c r="D31" i="1"/>
  <c r="D24" i="1"/>
  <c r="E21" i="1"/>
  <c r="D21" i="1"/>
  <c r="K47" i="32"/>
  <c r="K46" i="33"/>
  <c r="B91" i="33" s="1"/>
  <c r="K20" i="33"/>
  <c r="K21" i="33" s="1"/>
  <c r="K34" i="33"/>
  <c r="H91" i="33" s="1"/>
  <c r="K45" i="36"/>
  <c r="K45" i="37"/>
  <c r="K21" i="32"/>
  <c r="K34" i="34"/>
  <c r="K46" i="34"/>
  <c r="K33" i="37"/>
  <c r="I94" i="37" s="1"/>
  <c r="K36" i="35"/>
  <c r="K20" i="34"/>
  <c r="K21" i="34" s="1"/>
  <c r="K58" i="34"/>
  <c r="K20" i="36"/>
  <c r="K21" i="36" s="1"/>
  <c r="K33" i="36"/>
  <c r="K20" i="37"/>
  <c r="N20" i="37" s="1"/>
  <c r="J19" i="41"/>
  <c r="J31" i="40"/>
  <c r="J19" i="40"/>
  <c r="J43" i="40"/>
  <c r="J43" i="26"/>
  <c r="J21" i="37"/>
  <c r="J46" i="37"/>
  <c r="J34" i="37"/>
  <c r="J21" i="36"/>
  <c r="N57" i="36"/>
  <c r="B74" i="36" s="1"/>
  <c r="J34" i="36"/>
  <c r="J21" i="34"/>
  <c r="J59" i="34"/>
  <c r="J35" i="34"/>
  <c r="J21" i="33"/>
  <c r="J35" i="33"/>
  <c r="J47" i="33"/>
  <c r="K36" i="32"/>
  <c r="N35" i="32"/>
  <c r="J66" i="32"/>
  <c r="J48" i="32"/>
  <c r="J45" i="12"/>
  <c r="K47" i="6"/>
  <c r="K37" i="6"/>
  <c r="J20" i="12"/>
  <c r="J33" i="12"/>
  <c r="K21" i="9"/>
  <c r="J52" i="11"/>
  <c r="J53" i="11" s="1"/>
  <c r="J64" i="11"/>
  <c r="J65" i="11" s="1"/>
  <c r="K53" i="11"/>
  <c r="J32" i="11"/>
  <c r="J33" i="11" s="1"/>
  <c r="K33" i="11"/>
  <c r="J20" i="11"/>
  <c r="J21" i="11" s="1"/>
  <c r="K65" i="11"/>
  <c r="K21" i="11"/>
  <c r="J31" i="26"/>
  <c r="J32" i="26" s="1"/>
  <c r="J19" i="26"/>
  <c r="J20" i="26" s="1"/>
  <c r="K20" i="26"/>
  <c r="J34" i="12" l="1"/>
  <c r="I92" i="12"/>
  <c r="I93" i="12" s="1"/>
  <c r="I94" i="12" s="1"/>
  <c r="I95" i="12" s="1"/>
  <c r="I96" i="12" s="1"/>
  <c r="J46" i="12"/>
  <c r="C92" i="12"/>
  <c r="C93" i="12" s="1"/>
  <c r="C94" i="12" s="1"/>
  <c r="C95" i="12" s="1"/>
  <c r="C96" i="12" s="1"/>
  <c r="P22" i="42"/>
  <c r="H92" i="12"/>
  <c r="H93" i="33"/>
  <c r="J93" i="33" s="1"/>
  <c r="H95" i="33"/>
  <c r="J95" i="33" s="1"/>
  <c r="J91" i="33"/>
  <c r="H94" i="33"/>
  <c r="J94" i="33" s="1"/>
  <c r="H92" i="33"/>
  <c r="J92" i="33" s="1"/>
  <c r="F5" i="50"/>
  <c r="B93" i="33"/>
  <c r="D93" i="33" s="1"/>
  <c r="B94" i="33"/>
  <c r="D94" i="33" s="1"/>
  <c r="D91" i="33"/>
  <c r="B95" i="33"/>
  <c r="D95" i="33" s="1"/>
  <c r="B92" i="33"/>
  <c r="D92" i="33" s="1"/>
  <c r="I97" i="37"/>
  <c r="K97" i="37" s="1"/>
  <c r="K94" i="37"/>
  <c r="I98" i="37"/>
  <c r="K98" i="37" s="1"/>
  <c r="I95" i="37"/>
  <c r="K95" i="37" s="1"/>
  <c r="I96" i="37"/>
  <c r="K96" i="37" s="1"/>
  <c r="D174" i="9"/>
  <c r="C175" i="9"/>
  <c r="J34" i="9"/>
  <c r="J174" i="9"/>
  <c r="P24" i="42"/>
  <c r="B92" i="12"/>
  <c r="B23" i="50" s="1"/>
  <c r="N56" i="6"/>
  <c r="K34" i="12"/>
  <c r="K61" i="38"/>
  <c r="N36" i="38"/>
  <c r="K22" i="38"/>
  <c r="N60" i="38"/>
  <c r="B77" i="38" s="1"/>
  <c r="K49" i="38"/>
  <c r="N48" i="38"/>
  <c r="K37" i="38"/>
  <c r="K46" i="12"/>
  <c r="P23" i="42"/>
  <c r="N43" i="9"/>
  <c r="N65" i="9"/>
  <c r="B157" i="9" s="1"/>
  <c r="K32" i="26"/>
  <c r="E31" i="1"/>
  <c r="N46" i="6"/>
  <c r="K44" i="26"/>
  <c r="N43" i="26"/>
  <c r="B60" i="26" s="1"/>
  <c r="N66" i="6"/>
  <c r="B78" i="6" s="1"/>
  <c r="J37" i="6"/>
  <c r="N18" i="9"/>
  <c r="J66" i="9"/>
  <c r="N55" i="9"/>
  <c r="J21" i="9"/>
  <c r="N32" i="9"/>
  <c r="E24" i="1"/>
  <c r="K37" i="35"/>
  <c r="K30" i="42"/>
  <c r="N46" i="34"/>
  <c r="K27" i="42"/>
  <c r="K35" i="34"/>
  <c r="K26" i="42"/>
  <c r="N58" i="34"/>
  <c r="B74" i="34" s="1"/>
  <c r="K28" i="42"/>
  <c r="K46" i="37"/>
  <c r="K39" i="42"/>
  <c r="K58" i="37"/>
  <c r="K40" i="42"/>
  <c r="N33" i="37"/>
  <c r="K38" i="42"/>
  <c r="N33" i="36"/>
  <c r="K33" i="42"/>
  <c r="K46" i="36"/>
  <c r="K34" i="42"/>
  <c r="N34" i="33"/>
  <c r="K21" i="42"/>
  <c r="N47" i="33"/>
  <c r="B74" i="33" s="1"/>
  <c r="K23" i="42"/>
  <c r="K22" i="42"/>
  <c r="K47" i="33"/>
  <c r="K66" i="32"/>
  <c r="K18" i="42"/>
  <c r="N48" i="32"/>
  <c r="K17" i="42"/>
  <c r="K48" i="32"/>
  <c r="K35" i="33"/>
  <c r="E32" i="1"/>
  <c r="N57" i="37"/>
  <c r="B77" i="37" s="1"/>
  <c r="N20" i="33"/>
  <c r="K47" i="34"/>
  <c r="N45" i="37"/>
  <c r="K22" i="32"/>
  <c r="N20" i="36"/>
  <c r="N65" i="32"/>
  <c r="K34" i="36"/>
  <c r="K21" i="37"/>
  <c r="N45" i="36"/>
  <c r="N20" i="34"/>
  <c r="K34" i="37"/>
  <c r="N36" i="35"/>
  <c r="B53" i="35" s="1"/>
  <c r="K59" i="34"/>
  <c r="N45" i="12"/>
  <c r="B74" i="12" s="1"/>
  <c r="J44" i="26"/>
  <c r="J21" i="12"/>
  <c r="N20" i="12"/>
  <c r="N33" i="12"/>
  <c r="N52" i="11"/>
  <c r="N64" i="11"/>
  <c r="N32" i="11"/>
  <c r="N20" i="11"/>
  <c r="N31" i="26"/>
  <c r="N19" i="26"/>
  <c r="J92" i="12" l="1"/>
  <c r="H93" i="12"/>
  <c r="J93" i="12" s="1"/>
  <c r="H94" i="12"/>
  <c r="J94" i="12" s="1"/>
  <c r="H95" i="12"/>
  <c r="J95" i="12" s="1"/>
  <c r="H96" i="12"/>
  <c r="J96" i="12" s="1"/>
  <c r="B26" i="50"/>
  <c r="D26" i="50" s="1"/>
  <c r="B25" i="50"/>
  <c r="D25" i="50" s="1"/>
  <c r="B27" i="50"/>
  <c r="D27" i="50" s="1"/>
  <c r="D23" i="50"/>
  <c r="B24" i="50"/>
  <c r="D24" i="50" s="1"/>
  <c r="F7" i="50"/>
  <c r="H7" i="50" s="1"/>
  <c r="F8" i="50"/>
  <c r="H8" i="50" s="1"/>
  <c r="F9" i="50"/>
  <c r="H9" i="50" s="1"/>
  <c r="H5" i="50"/>
  <c r="F6" i="50"/>
  <c r="H6" i="50" s="1"/>
  <c r="D175" i="9"/>
  <c r="C176" i="9"/>
  <c r="J175" i="9"/>
  <c r="K174" i="9"/>
  <c r="B95" i="12"/>
  <c r="D95" i="12" s="1"/>
  <c r="B93" i="12"/>
  <c r="D93" i="12" s="1"/>
  <c r="B96" i="12"/>
  <c r="D96" i="12" s="1"/>
  <c r="B94" i="12"/>
  <c r="D94" i="12" s="1"/>
  <c r="D92" i="12"/>
  <c r="J19" i="18"/>
  <c r="F19" i="18"/>
  <c r="F18" i="18"/>
  <c r="F17" i="18"/>
  <c r="J15" i="18"/>
  <c r="C177" i="9" l="1"/>
  <c r="D176" i="9"/>
  <c r="J176" i="9"/>
  <c r="K175" i="9"/>
  <c r="E20" i="18"/>
  <c r="H16" i="18" s="1"/>
  <c r="H18" i="18" s="1"/>
  <c r="F16" i="18"/>
  <c r="C178" i="9" l="1"/>
  <c r="D178" i="9" s="1"/>
  <c r="D177" i="9"/>
  <c r="J177" i="9"/>
  <c r="K176" i="9"/>
  <c r="F20" i="18"/>
  <c r="J178" i="9" l="1"/>
  <c r="K178" i="9" s="1"/>
  <c r="K177" i="9"/>
  <c r="H14" i="18"/>
  <c r="K14" i="18"/>
  <c r="J14" i="18"/>
  <c r="J20" i="18" s="1"/>
  <c r="F21" i="18"/>
  <c r="H17" i="18" s="1"/>
  <c r="J61" i="18"/>
  <c r="E61" i="18"/>
  <c r="F61" i="18" s="1"/>
  <c r="E60" i="18"/>
  <c r="F60" i="18" s="1"/>
  <c r="E59" i="18"/>
  <c r="F59" i="18" s="1"/>
  <c r="E58" i="18"/>
  <c r="F58" i="18" s="1"/>
  <c r="K57" i="18"/>
  <c r="J57" i="18"/>
  <c r="J49" i="18"/>
  <c r="E49" i="18"/>
  <c r="F49" i="18" s="1"/>
  <c r="E48" i="18"/>
  <c r="F48" i="18" s="1"/>
  <c r="E47" i="18"/>
  <c r="F47" i="18" s="1"/>
  <c r="E46" i="18"/>
  <c r="J36" i="18"/>
  <c r="E36" i="18"/>
  <c r="F36" i="18" s="1"/>
  <c r="E35" i="18"/>
  <c r="F35" i="18" s="1"/>
  <c r="E34" i="18"/>
  <c r="F34" i="18" s="1"/>
  <c r="J32" i="18"/>
  <c r="J21" i="18" l="1"/>
  <c r="E50" i="18"/>
  <c r="H46" i="18" s="1"/>
  <c r="H48" i="18" s="1"/>
  <c r="F62" i="18"/>
  <c r="F79" i="18" s="1"/>
  <c r="F81" i="18" s="1"/>
  <c r="F82" i="18" s="1"/>
  <c r="F83" i="18" s="1"/>
  <c r="F85" i="18" s="1"/>
  <c r="F37" i="18"/>
  <c r="K31" i="18" s="1"/>
  <c r="E37" i="18"/>
  <c r="H33" i="18" s="1"/>
  <c r="F46" i="18"/>
  <c r="F50" i="18" s="1"/>
  <c r="K44" i="18" s="1"/>
  <c r="E62" i="18"/>
  <c r="H58" i="18" s="1"/>
  <c r="F63" i="18" l="1"/>
  <c r="H59" i="18" s="1"/>
  <c r="K56" i="18"/>
  <c r="J31" i="18"/>
  <c r="J44" i="18"/>
  <c r="H56" i="18"/>
  <c r="J56" i="18"/>
  <c r="F38" i="18"/>
  <c r="H34" i="18" s="1"/>
  <c r="H31" i="18"/>
  <c r="H44" i="18"/>
  <c r="F51" i="18"/>
  <c r="H47" i="18" s="1"/>
  <c r="H35" i="18"/>
  <c r="H60" i="18"/>
  <c r="D11" i="1" l="1"/>
  <c r="K62" i="18"/>
  <c r="K50" i="18"/>
  <c r="K5" i="42" s="1"/>
  <c r="J50" i="18"/>
  <c r="J51" i="18" s="1"/>
  <c r="K20" i="18"/>
  <c r="J62" i="18"/>
  <c r="J37" i="18"/>
  <c r="D24" i="21"/>
  <c r="J38" i="18" l="1"/>
  <c r="I97" i="18"/>
  <c r="I98" i="18" s="1"/>
  <c r="I99" i="18" s="1"/>
  <c r="I100" i="18" s="1"/>
  <c r="I101" i="18" s="1"/>
  <c r="J63" i="18"/>
  <c r="C97" i="18"/>
  <c r="C98" i="18" s="1"/>
  <c r="C99" i="18" s="1"/>
  <c r="C100" i="18" s="1"/>
  <c r="C101" i="18" s="1"/>
  <c r="K6" i="42"/>
  <c r="B97" i="18"/>
  <c r="K14" i="42"/>
  <c r="N18" i="41"/>
  <c r="B30" i="41" s="1"/>
  <c r="K19" i="41"/>
  <c r="K30" i="40"/>
  <c r="K18" i="40"/>
  <c r="K42" i="40"/>
  <c r="K37" i="18"/>
  <c r="E11" i="1"/>
  <c r="N50" i="18"/>
  <c r="K51" i="18"/>
  <c r="K21" i="18"/>
  <c r="N20" i="18"/>
  <c r="K63" i="18"/>
  <c r="N62" i="18"/>
  <c r="B80" i="18" s="1"/>
  <c r="D12" i="21"/>
  <c r="B99" i="18" l="1"/>
  <c r="D99" i="18" s="1"/>
  <c r="B101" i="18"/>
  <c r="D101" i="18" s="1"/>
  <c r="B100" i="18"/>
  <c r="D100" i="18" s="1"/>
  <c r="B32" i="50"/>
  <c r="B98" i="18"/>
  <c r="D98" i="18" s="1"/>
  <c r="D97" i="18"/>
  <c r="K4" i="42"/>
  <c r="H97" i="18"/>
  <c r="K9" i="42"/>
  <c r="K19" i="40"/>
  <c r="N18" i="40"/>
  <c r="K10" i="42"/>
  <c r="N30" i="40"/>
  <c r="K31" i="40"/>
  <c r="K11" i="42"/>
  <c r="N42" i="40"/>
  <c r="K43" i="40"/>
  <c r="N37" i="18"/>
  <c r="K38" i="18"/>
  <c r="C15" i="21"/>
  <c r="D15" i="21" s="1"/>
  <c r="C16" i="21"/>
  <c r="D16" i="21" s="1"/>
  <c r="C2" i="21"/>
  <c r="D2" i="21" s="1"/>
  <c r="C3" i="21"/>
  <c r="D3" i="21" s="1"/>
  <c r="C8" i="21"/>
  <c r="D8" i="21" s="1"/>
  <c r="C4" i="21"/>
  <c r="D4" i="21" s="1"/>
  <c r="C9" i="21"/>
  <c r="D9" i="21" s="1"/>
  <c r="C10" i="21"/>
  <c r="D10" i="21" s="1"/>
  <c r="C11" i="21"/>
  <c r="D11" i="21" s="1"/>
  <c r="C5" i="21"/>
  <c r="D5" i="21" s="1"/>
  <c r="C7" i="21"/>
  <c r="D7" i="21" s="1"/>
  <c r="C14" i="21"/>
  <c r="D14" i="21" s="1"/>
  <c r="C13" i="21"/>
  <c r="D13" i="21" s="1"/>
  <c r="F10" i="21"/>
  <c r="F9" i="21"/>
  <c r="H101" i="18" l="1"/>
  <c r="J101" i="18" s="1"/>
  <c r="H98" i="18"/>
  <c r="J98" i="18" s="1"/>
  <c r="H100" i="18"/>
  <c r="J100" i="18" s="1"/>
  <c r="H99" i="18"/>
  <c r="J99" i="18" s="1"/>
  <c r="J97" i="18"/>
  <c r="B35" i="50"/>
  <c r="D35" i="50" s="1"/>
  <c r="D32" i="50"/>
  <c r="B34" i="50"/>
  <c r="D34" i="50" s="1"/>
  <c r="B36" i="50"/>
  <c r="D36" i="50" s="1"/>
  <c r="B33" i="50"/>
  <c r="D33" i="50" s="1"/>
  <c r="D1048566" i="21"/>
  <c r="B1048566" i="21"/>
  <c r="N21" i="32"/>
  <c r="J22" i="32"/>
</calcChain>
</file>

<file path=xl/sharedStrings.xml><?xml version="1.0" encoding="utf-8"?>
<sst xmlns="http://schemas.openxmlformats.org/spreadsheetml/2006/main" count="3930" uniqueCount="496">
  <si>
    <t>Peptide</t>
  </si>
  <si>
    <t>AOD-9604 5mg</t>
  </si>
  <si>
    <t>BAC Water 10ml</t>
  </si>
  <si>
    <t>BB10 5/5</t>
  </si>
  <si>
    <t>BB20</t>
  </si>
  <si>
    <t>BPC-157 5mg</t>
  </si>
  <si>
    <t>BPC-157 10mg</t>
  </si>
  <si>
    <t>Cag 5mg</t>
  </si>
  <si>
    <t>Cag 10mg</t>
  </si>
  <si>
    <t>CJC-1295/Ipa 5/5</t>
  </si>
  <si>
    <t>DSIP 5mg</t>
  </si>
  <si>
    <t>Epithalon 5mg</t>
  </si>
  <si>
    <t>Epithalon 10mg</t>
  </si>
  <si>
    <t>Epithalon 50mg</t>
  </si>
  <si>
    <t>GHK-CU 50mg</t>
  </si>
  <si>
    <t>GHK-CU 100mg</t>
  </si>
  <si>
    <t>GLOW 50mg</t>
  </si>
  <si>
    <t>GLOW 70mg</t>
  </si>
  <si>
    <t>Glutathione 600mg</t>
  </si>
  <si>
    <t>HCG 5000IU</t>
  </si>
  <si>
    <t>HGH 15IU</t>
  </si>
  <si>
    <t>HGH 36IU</t>
  </si>
  <si>
    <t>Kisspep 10mg</t>
  </si>
  <si>
    <t>KLOW 80mg</t>
  </si>
  <si>
    <t>Lipo-C w/ B12</t>
  </si>
  <si>
    <t>Mots-C 10mg</t>
  </si>
  <si>
    <t>MT 2 10mg</t>
  </si>
  <si>
    <t>NAD+ 1000mg</t>
  </si>
  <si>
    <t>NAD+ 500mg</t>
  </si>
  <si>
    <t>Oxytocin 5mg</t>
  </si>
  <si>
    <t>Reta 10mg</t>
  </si>
  <si>
    <t>Reta 20mg</t>
  </si>
  <si>
    <t>Reta 30mg</t>
  </si>
  <si>
    <t>Selank 10mg</t>
  </si>
  <si>
    <t>Semax 10mg</t>
  </si>
  <si>
    <t>SS-31 10mg</t>
  </si>
  <si>
    <t>Sterile Deion Water 10ml</t>
  </si>
  <si>
    <t>Sterile Water 3ml</t>
  </si>
  <si>
    <t>TB500 10mg</t>
  </si>
  <si>
    <t>Tesamorelin 10mg</t>
  </si>
  <si>
    <t>Tirz 10mg</t>
  </si>
  <si>
    <t>Tirz 15mg</t>
  </si>
  <si>
    <t>Tirz 30mg</t>
  </si>
  <si>
    <t>Tirz 5mg</t>
  </si>
  <si>
    <t>Tirz 60mg</t>
  </si>
  <si>
    <t>VIP 10mg</t>
  </si>
  <si>
    <t>Tablets/Caps</t>
  </si>
  <si>
    <t>5 Amino 1q 50mg</t>
  </si>
  <si>
    <t>BPC 500mcg</t>
  </si>
  <si>
    <t>Methaline Blue 20mg</t>
  </si>
  <si>
    <t>Tesofensine 500mcg</t>
  </si>
  <si>
    <t>Semaglutide 10mg</t>
  </si>
  <si>
    <t>BPC-157 20 mg</t>
  </si>
  <si>
    <t>Tesofensine</t>
  </si>
  <si>
    <t>Melatonin-11</t>
  </si>
  <si>
    <t>HGH 24IU</t>
  </si>
  <si>
    <t>BPC-157 /TB500 20 mg</t>
  </si>
  <si>
    <t>PT141 10 mg</t>
  </si>
  <si>
    <t>Peptides</t>
  </si>
  <si>
    <t>Muscle growth and recovery</t>
  </si>
  <si>
    <t>Fat Loss and Metabolic support</t>
  </si>
  <si>
    <t>Immune and support defense</t>
  </si>
  <si>
    <t>Longevity and cellular renewal</t>
  </si>
  <si>
    <t>Sleep</t>
  </si>
  <si>
    <t>Skin and aesthetics/Anti -aging</t>
  </si>
  <si>
    <t xml:space="preserve">29-31 gauge needles, </t>
  </si>
  <si>
    <t>sub Q for most</t>
  </si>
  <si>
    <t>semax, selank and epitalon have intranasal option</t>
  </si>
  <si>
    <t>topical exists for GHKCu, and AOD 9604</t>
  </si>
  <si>
    <t xml:space="preserve">inject same day and time and rotate site of injection </t>
  </si>
  <si>
    <t>track key metrics:  sleep, energy, and mood</t>
  </si>
  <si>
    <t>Cycle peptides no longer than 12 weeks. 2-4 week break between</t>
  </si>
  <si>
    <t xml:space="preserve">Run baseline and fup labs. </t>
  </si>
  <si>
    <t>fasing insulin +Glucose+A1C :  for metabolic markers</t>
  </si>
  <si>
    <t>CRP for systemic inflammation</t>
  </si>
  <si>
    <t>Vit D:  for immune, mood and recovery support</t>
  </si>
  <si>
    <t>CBC with differential :  for immune baseline</t>
  </si>
  <si>
    <t>TSH, free T3, free T4, :  for thyroid health</t>
  </si>
  <si>
    <t>Ferritin, and B12:  for energy metabolism</t>
  </si>
  <si>
    <t>Stress and Anxiety</t>
  </si>
  <si>
    <t>Hormonal balance 40+</t>
  </si>
  <si>
    <t>Mitochondrial repair and Energy</t>
  </si>
  <si>
    <t>Sexual Health</t>
  </si>
  <si>
    <t>Tanning</t>
  </si>
  <si>
    <t>Melanotan I</t>
  </si>
  <si>
    <t>Category</t>
  </si>
  <si>
    <t xml:space="preserve">Baseline labs:  </t>
  </si>
  <si>
    <t xml:space="preserve">Brain Health: focus, mood, and mental clarity </t>
  </si>
  <si>
    <t>IGF-1:  for gh related peptides (cjc and ipa)</t>
  </si>
  <si>
    <t xml:space="preserve">Pain relief/gut repair/resilience </t>
  </si>
  <si>
    <t>Frequently asked questions</t>
  </si>
  <si>
    <t>What is a peptide?   Are short chains of amino acids, the same building blocks that make up proteins.</t>
  </si>
  <si>
    <t xml:space="preserve">How does it work?  Think of a text message in your body - it tells yourself to "stimulate collagen"  or " lower inflammation" </t>
  </si>
  <si>
    <t xml:space="preserve">It goes straight tho the source, bind to a receptor and triggers a targeted response.  They support natural functions.  It nudges your system. </t>
  </si>
  <si>
    <t>Should everyone get the same regimine?  No.  This is not a one size fits all.  Different options because of sex, age, athletes vs busy professionals</t>
  </si>
  <si>
    <t>autoimmune issues vs those chasing peak performance. .</t>
  </si>
  <si>
    <t xml:space="preserve">Are peptides synthetic?  Yes and No.  Some peptides are produced naturally in our body for example insulin (which manages blood sugar), </t>
  </si>
  <si>
    <t>oxytocin (which influences mood and and bonding), and glucagon (which helps regulate glucose levels).  Others are made synthetically in labs</t>
  </si>
  <si>
    <t>That word- synthetic- tends to scare people but it shouldn’t.  Synthetic peptides are not foreign nor dangerous by default.  They are simply</t>
  </si>
  <si>
    <t xml:space="preserve">Engineered copies of what your body already produces, sometimes with slight modifications to make them more stable, longer -lasing or </t>
  </si>
  <si>
    <t xml:space="preserve">more effective. </t>
  </si>
  <si>
    <t xml:space="preserve">Do I need specific supplements while taking?  Yes because they help support the body in a sublte foundational way.  We want to fill in </t>
  </si>
  <si>
    <t xml:space="preserve">nutritional gaps, correct deficiencies, and gently nudge the system in the right direction. </t>
  </si>
  <si>
    <t xml:space="preserve">Are peptides safe for long term use?  Yes, as long a cycled, monitored and respected.   Go on, assess, go off, then reassess. </t>
  </si>
  <si>
    <t xml:space="preserve">How young can you start peptides?   Age 15 </t>
  </si>
  <si>
    <t xml:space="preserve">EXTRAS:  </t>
  </si>
  <si>
    <t>Week 9-12</t>
  </si>
  <si>
    <t>Sticker</t>
  </si>
  <si>
    <t>Week 1</t>
  </si>
  <si>
    <t>Week 2</t>
  </si>
  <si>
    <t>Week 3</t>
  </si>
  <si>
    <t>DSIP 10mg</t>
  </si>
  <si>
    <t>COST</t>
  </si>
  <si>
    <t>Cost</t>
  </si>
  <si>
    <t>Sell</t>
  </si>
  <si>
    <t>BAC 10ml (10)</t>
  </si>
  <si>
    <t>BAC 3ml (10)</t>
  </si>
  <si>
    <t>Blue 3ml Syring (100)</t>
  </si>
  <si>
    <t>Cost EACh</t>
  </si>
  <si>
    <t>Vial Caps (14)</t>
  </si>
  <si>
    <t>Pencil Case (6)</t>
  </si>
  <si>
    <t>Gift Bag (50)</t>
  </si>
  <si>
    <t>Mailer (30)</t>
  </si>
  <si>
    <t>Labels (315)</t>
  </si>
  <si>
    <t>Orange 0.5ml Syrnge (100)</t>
  </si>
  <si>
    <t>Bubble Wrap (200)</t>
  </si>
  <si>
    <t>One</t>
  </si>
  <si>
    <t>Each</t>
  </si>
  <si>
    <t>Ten</t>
  </si>
  <si>
    <t>Two</t>
  </si>
  <si>
    <t>BACK 30ml (4)</t>
  </si>
  <si>
    <t>BACK 20ml (6)</t>
  </si>
  <si>
    <t>With Tax</t>
  </si>
  <si>
    <t>General Informational Flyer</t>
  </si>
  <si>
    <t>Office Wall Flyer</t>
  </si>
  <si>
    <t>Quick Genearl Education for Staff</t>
  </si>
  <si>
    <t>Column1</t>
  </si>
  <si>
    <t>Done</t>
  </si>
  <si>
    <t>Product in office</t>
  </si>
  <si>
    <t>N/A</t>
  </si>
  <si>
    <t>Column2</t>
  </si>
  <si>
    <t>Week 4</t>
  </si>
  <si>
    <t>cost</t>
  </si>
  <si>
    <t>VIP Price</t>
  </si>
  <si>
    <t>Reg Price</t>
  </si>
  <si>
    <t>VIP Membership</t>
  </si>
  <si>
    <t>Monthly Offive Visit</t>
  </si>
  <si>
    <t>$150/visit</t>
  </si>
  <si>
    <t>$0/visit</t>
  </si>
  <si>
    <t>Regular Price</t>
  </si>
  <si>
    <t>Hexarelin 10 mg</t>
  </si>
  <si>
    <t>SLU PP 332(500mcg)x100</t>
  </si>
  <si>
    <t>SLUP PP 332(1mg) x100</t>
  </si>
  <si>
    <t>Slu PP 332(5mg)x100</t>
  </si>
  <si>
    <t xml:space="preserve">DSIP </t>
  </si>
  <si>
    <t>Selank Nasal</t>
  </si>
  <si>
    <t>Semax Nasal</t>
  </si>
  <si>
    <t>Oxytocin Nasal</t>
  </si>
  <si>
    <t>Nasal Sprays</t>
  </si>
  <si>
    <t>Column3</t>
  </si>
  <si>
    <t>downloaded</t>
  </si>
  <si>
    <t>fhgh</t>
  </si>
  <si>
    <t>Tesofensine 500mcg (1tab daily)</t>
  </si>
  <si>
    <t>email</t>
  </si>
  <si>
    <t>*Start at 500mcg. You can start at 1. Depends on effect and wht they feel in7 days. Daily 30-40min before exercise or without exercise in the morning.</t>
  </si>
  <si>
    <t>Exercise</t>
  </si>
  <si>
    <t>Column4</t>
  </si>
  <si>
    <t>Column5</t>
  </si>
  <si>
    <t xml:space="preserve">Wha is it for? </t>
  </si>
  <si>
    <t>Cerebrolysin</t>
  </si>
  <si>
    <t>Dihexa</t>
  </si>
  <si>
    <t>Ipamoralin</t>
  </si>
  <si>
    <t>KPV</t>
  </si>
  <si>
    <t>Thymosin-alpha -1</t>
  </si>
  <si>
    <t>LL-37</t>
  </si>
  <si>
    <t>Epitalon</t>
  </si>
  <si>
    <t>Cardiometabolic/lipids/ liver/glucose control/weight management</t>
  </si>
  <si>
    <t>Pen</t>
  </si>
  <si>
    <t>Mackay</t>
  </si>
  <si>
    <t>Peptide Pen</t>
  </si>
  <si>
    <t>each cartridge to the patient</t>
  </si>
  <si>
    <t>Amazon</t>
  </si>
  <si>
    <t>Peptide Needles 100 31g 6mm</t>
  </si>
  <si>
    <t>Box</t>
  </si>
  <si>
    <t>Alcohol Prep (Box of 100)</t>
  </si>
  <si>
    <t>BAC</t>
  </si>
  <si>
    <t>Each pen comes with a case and Two cartridges, so thent he patient only need to by the difference in cartridges</t>
  </si>
  <si>
    <t>Every Other Day</t>
  </si>
  <si>
    <t>Units Needed</t>
  </si>
  <si>
    <t>Per Unit</t>
  </si>
  <si>
    <t>Cartridges</t>
  </si>
  <si>
    <t>Per Vial</t>
  </si>
  <si>
    <t>Case</t>
  </si>
  <si>
    <t>2/2/2026 COST</t>
  </si>
  <si>
    <t>Take Home Instructions specific to dose (3ml)</t>
  </si>
  <si>
    <t>Week 13-16</t>
  </si>
  <si>
    <t>mcg</t>
  </si>
  <si>
    <t>Units per Injections</t>
  </si>
  <si>
    <t># of Injections</t>
  </si>
  <si>
    <t>Frequency of Injection</t>
  </si>
  <si>
    <t>Alochol Prep</t>
  </si>
  <si>
    <t>Units</t>
  </si>
  <si>
    <t>Profit</t>
  </si>
  <si>
    <t>Daily</t>
  </si>
  <si>
    <t>Number of Cartridges needed</t>
  </si>
  <si>
    <t>BPC157 + TB500 20mg</t>
  </si>
  <si>
    <t>Weekly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</si>
  <si>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</si>
  <si>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</si>
  <si>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</si>
  <si>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</si>
  <si>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</si>
  <si>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</si>
  <si>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</si>
  <si>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</si>
  <si>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Month 4</t>
  </si>
  <si>
    <t>The patient needs to have a conversation with Unruh as they will most likely take this month OFF.</t>
  </si>
  <si>
    <t>Pen Needles</t>
  </si>
  <si>
    <t>CUSTOM PROTOCOL</t>
  </si>
  <si>
    <t>Week</t>
  </si>
  <si>
    <t>PT-141 10mg</t>
  </si>
  <si>
    <t>Syringe</t>
  </si>
  <si>
    <t>week 10</t>
  </si>
  <si>
    <t>Week 13</t>
  </si>
  <si>
    <t>Week 14</t>
  </si>
  <si>
    <t>Week 15</t>
  </si>
  <si>
    <t>Week 16</t>
  </si>
  <si>
    <t>Tirzepatide 30mg</t>
  </si>
  <si>
    <t>4 syringes, 4 alcohol prep</t>
  </si>
  <si>
    <t>Needles, cartrdiges, Alcohol Prep</t>
  </si>
  <si>
    <t>(30) Pen Needles, Cartridges, Alcohol Prep</t>
  </si>
  <si>
    <t>GLOW 70</t>
  </si>
  <si>
    <t>Peptide Dosages only have a 4 week protocol</t>
  </si>
  <si>
    <t>Kisspeptine 10mg</t>
  </si>
  <si>
    <t>PER SYRINGE</t>
  </si>
  <si>
    <t>Once</t>
  </si>
  <si>
    <t>2nd 3-4 days</t>
  </si>
  <si>
    <t>100 cartridges ($0.60 each)</t>
  </si>
  <si>
    <t>0.5ml syringe (1000 for $100)</t>
  </si>
  <si>
    <t>100 insulin syringe ( orange?)</t>
  </si>
  <si>
    <t>Per Unruh TRZ 30mg  is going to be a FLAT $350.00 per month for the first 4 months…up to a max of 100 Units per Week for one month.</t>
  </si>
  <si>
    <t>Per Unruh Reta is going to be a FLAT $350.00 per month for the first 4 months up to 120 units per week for one month.</t>
  </si>
  <si>
    <t>VIP Price 
Per Unit</t>
  </si>
  <si>
    <t>Regular Price 
Per Unit</t>
  </si>
  <si>
    <t>$350/mo</t>
  </si>
  <si>
    <t>4/4/26 price now $110</t>
  </si>
  <si>
    <t>2/25/26: $85</t>
  </si>
  <si>
    <t>2/25/26: $130</t>
  </si>
  <si>
    <t>2/25/26: $150</t>
  </si>
  <si>
    <t>2/25/26: $95</t>
  </si>
  <si>
    <t>2/25/26: $125</t>
  </si>
  <si>
    <t>2/25/26: $170</t>
  </si>
  <si>
    <t>2/2/26: $100</t>
  </si>
  <si>
    <t>2/2/26: $140</t>
  </si>
  <si>
    <t>2/2/26: $170</t>
  </si>
  <si>
    <t>2/2/26: $105</t>
  </si>
  <si>
    <t>2/2/26: $145</t>
  </si>
  <si>
    <t>2/2/26: $195</t>
  </si>
  <si>
    <t>4/4/2:  $75</t>
  </si>
  <si>
    <t>Supplies</t>
  </si>
  <si>
    <t>Peptide Pens</t>
  </si>
  <si>
    <t>31 Gauge Syringe (700): Each</t>
  </si>
  <si>
    <t>Peptide Pen Needle Tips (500 for $55)</t>
  </si>
  <si>
    <t>Pep Pen Cartrdiges (100 for $60)</t>
  </si>
  <si>
    <t>McKesson</t>
  </si>
  <si>
    <t>30ml BAC $24.99 for 75)</t>
  </si>
  <si>
    <t>Month 1</t>
  </si>
  <si>
    <t>Price</t>
  </si>
  <si>
    <t>Month 2</t>
  </si>
  <si>
    <t>Month 3</t>
  </si>
  <si>
    <t>Mont 4+ per RX</t>
  </si>
  <si>
    <t>Maintenance</t>
  </si>
  <si>
    <t>By RX only</t>
  </si>
  <si>
    <t>BPC157 + TB500 20mg (Slow Titration)</t>
  </si>
  <si>
    <t>BPC157 + TB500 20mg (Maintenance)</t>
  </si>
  <si>
    <t>NAD+ 1000mg (Acute)</t>
  </si>
  <si>
    <t>NAD+ 1000mg (Semi-Acute)</t>
  </si>
  <si>
    <t>Week 1-8</t>
  </si>
  <si>
    <t xml:space="preserve">15 Unit </t>
  </si>
  <si>
    <t>30 Unit</t>
  </si>
  <si>
    <t>45 Unit</t>
  </si>
  <si>
    <t>$350/month</t>
  </si>
  <si>
    <t>Monthly</t>
  </si>
  <si>
    <t>n/a</t>
  </si>
  <si>
    <t>Number of Syringes</t>
  </si>
  <si>
    <t>3 per week</t>
  </si>
  <si>
    <t>Plus $50</t>
  </si>
  <si>
    <t>Pack of 15 needles, 15 alcohol Prep</t>
  </si>
  <si>
    <t>Pack of 30 needles, 15 alcohol Prep</t>
  </si>
  <si>
    <t>Friends &amp; Family: BAC is an additional price</t>
  </si>
  <si>
    <t>MOTS-C 10mg</t>
  </si>
  <si>
    <t>&lt;&lt;they probably already have one</t>
  </si>
  <si>
    <t>Month 3++</t>
  </si>
  <si>
    <t>BOTTLES</t>
  </si>
  <si>
    <t>New Patient</t>
  </si>
  <si>
    <t>$200 covers the first two visits</t>
  </si>
  <si>
    <t>1st visit: Health HX and RX for Blood</t>
  </si>
  <si>
    <t>2nd visit: review Blood and RX for Peptides</t>
  </si>
  <si>
    <t>(1) visit: review blood and RX for Peptides</t>
  </si>
  <si>
    <t>Pep Pen Cartridge</t>
  </si>
  <si>
    <t>Week 1-4</t>
  </si>
  <si>
    <t>Week 5-8</t>
  </si>
  <si>
    <t>360 units (1.2 vials)</t>
  </si>
  <si>
    <t>480 units (1.8 vials)</t>
  </si>
  <si>
    <t>238 units (.79 vial)</t>
  </si>
  <si>
    <t>420 units (1.4 vials)</t>
  </si>
  <si>
    <t>120 units (.4 vial)</t>
  </si>
  <si>
    <t>240 units (0.8 vial)</t>
  </si>
  <si>
    <t>from the start 1 vial will last almost 8 weeks…... To get from Week 1 to Week 16 you need 4.2 vials</t>
  </si>
  <si>
    <r>
      <t>from the start, 2 vials will last almost 8 weeks…..To get from Week 1-</t>
    </r>
    <r>
      <rPr>
        <b/>
        <sz val="12"/>
        <color theme="1"/>
        <rFont val="Aptos Narrow"/>
        <family val="2"/>
        <scheme val="minor"/>
      </rPr>
      <t>12</t>
    </r>
    <r>
      <rPr>
        <sz val="12"/>
        <color theme="1"/>
        <rFont val="Aptos Narrow"/>
        <family val="2"/>
        <scheme val="minor"/>
      </rPr>
      <t xml:space="preserve"> you need 3.59 vials</t>
    </r>
  </si>
  <si>
    <t>294 units (1 vial)</t>
  </si>
  <si>
    <t>546 units (1.84 vials)</t>
  </si>
  <si>
    <t>714 units (2.38 vials)</t>
  </si>
  <si>
    <t>from the strat 1 vial will last 1 month….To get from Week1 -12 you need 5.22 vials</t>
  </si>
  <si>
    <t>154 units (.51 vials)</t>
  </si>
  <si>
    <t>252 units (0.84 vials)</t>
  </si>
  <si>
    <t>from the start 2 vials will last approx 6.5 weeks….To get from week 1-12 you need 2.19 vials</t>
  </si>
  <si>
    <t>168 units (0.56 vials)</t>
  </si>
  <si>
    <t>336 units (1.12 vials)</t>
  </si>
  <si>
    <t>from the start 2 vials will last 6 weeks….To get from week 1-12 you need 2.52 vials</t>
  </si>
  <si>
    <t>280 units (0.93 vials)</t>
  </si>
  <si>
    <t>I only have a 1 month protocol</t>
  </si>
  <si>
    <t>126 units (0.42 vials)</t>
  </si>
  <si>
    <t>from the start 1 vial will last 8 weeks….To get from week 1-12 you need 1.54 vials</t>
  </si>
  <si>
    <t>308 units (1.03 vials)</t>
  </si>
  <si>
    <t>616 units (2.05 vials)</t>
  </si>
  <si>
    <t>from the start 1 vial will last the first month…..To get from week 1-12 you need 4.48 vials</t>
  </si>
  <si>
    <t>588 units (1.96 vials)</t>
  </si>
  <si>
    <t>840 units (2.8 vials)</t>
  </si>
  <si>
    <t>from the start 2 vials will last just over 6 weeks….To get from week 1-12 you need 5.6 vials</t>
  </si>
  <si>
    <t>Acute: 679 units (2.26 vials)</t>
  </si>
  <si>
    <t>from the start 2.26 vials last 4 weeks…To get from week 1-12 you need 7.86 vials</t>
  </si>
  <si>
    <t>1470 units (4.9 vials)</t>
  </si>
  <si>
    <t>1680 units (5.6 vials)</t>
  </si>
  <si>
    <t>so the first month you need 5 vials….to get from Week 1-12 you need 16.1 vials</t>
  </si>
  <si>
    <t>100 units (0.3 vials)</t>
  </si>
  <si>
    <t>200 units (.67 vials)</t>
  </si>
  <si>
    <t>300 units (1 vial)</t>
  </si>
  <si>
    <t>400 units (1.3 vials)</t>
  </si>
  <si>
    <t>from the start 2 vials will last 12 weeks…..to get from Week 1-16 you need 3.33 vials)</t>
  </si>
  <si>
    <t>20 minutes</t>
  </si>
  <si>
    <t>Face to Face $100</t>
  </si>
  <si>
    <t>Telehealth $75</t>
  </si>
  <si>
    <t>Pack of 15 needles &amp; alcohol Prep</t>
  </si>
  <si>
    <t>Pack of 30 needles &amp; 15 alcohol Prep</t>
  </si>
  <si>
    <r>
      <rPr>
        <b/>
        <u/>
        <sz val="11"/>
        <color theme="1"/>
        <rFont val="Aptos Narrow"/>
        <family val="2"/>
        <scheme val="minor"/>
      </rPr>
      <t>WITH</t>
    </r>
    <r>
      <rPr>
        <sz val="11"/>
        <color theme="1"/>
        <rFont val="Aptos Narrow"/>
        <family val="2"/>
        <scheme val="minor"/>
      </rPr>
      <t xml:space="preserve"> Bloodwork</t>
    </r>
  </si>
  <si>
    <r>
      <rPr>
        <b/>
        <u/>
        <sz val="11"/>
        <color theme="1"/>
        <rFont val="Aptos Narrow"/>
        <family val="2"/>
        <scheme val="minor"/>
      </rPr>
      <t>Without</t>
    </r>
    <r>
      <rPr>
        <sz val="11"/>
        <color theme="1"/>
        <rFont val="Aptos Narrow"/>
        <family val="2"/>
        <scheme val="minor"/>
      </rPr>
      <t xml:space="preserve"> Boodwork</t>
    </r>
  </si>
  <si>
    <t>Follow-up Appointments</t>
  </si>
  <si>
    <t>ADD per vial</t>
  </si>
  <si>
    <t>Add per vial</t>
  </si>
  <si>
    <t>3 month min.</t>
  </si>
  <si>
    <t>Over 10 months</t>
  </si>
  <si>
    <t>based on Week 13-16</t>
  </si>
  <si>
    <t>Mont 4+ per RX *</t>
  </si>
  <si>
    <t>500mcg</t>
  </si>
  <si>
    <t>ARA-290 10mg</t>
  </si>
  <si>
    <t>as of 4/24/26</t>
  </si>
  <si>
    <t>NAT+ 700mg</t>
  </si>
  <si>
    <t>4/24/26: $70.04</t>
  </si>
  <si>
    <t xml:space="preserve">Number of vials = </t>
  </si>
  <si>
    <t>Months</t>
  </si>
  <si>
    <t>Number of vials (div by 300)</t>
  </si>
  <si>
    <t>$100 per vial</t>
  </si>
  <si>
    <t>Average montly profit</t>
  </si>
  <si>
    <t>Monthly Profit</t>
  </si>
  <si>
    <t>1st Injection</t>
  </si>
  <si>
    <t>Units per month</t>
  </si>
  <si>
    <t>Unts needed</t>
  </si>
  <si>
    <t>If we sell exactly what the need:</t>
  </si>
  <si>
    <t xml:space="preserve">how many vials do you need for 10 months? </t>
  </si>
  <si>
    <t>Reg Price per VIAL</t>
  </si>
  <si>
    <t>(30) Pen Needles,  up to 3 Cartridges, (30)Alcohol Prep</t>
  </si>
  <si>
    <t>When the patient returns they may continue to match Week 9-12 or go on a custome protocol</t>
  </si>
  <si>
    <t>based on Week 9-12</t>
  </si>
  <si>
    <t>based on Week 1-4</t>
  </si>
  <si>
    <t>Sell the bottle?</t>
  </si>
  <si>
    <t>Week 17</t>
  </si>
  <si>
    <t>Week 18</t>
  </si>
  <si>
    <t>Week 19</t>
  </si>
  <si>
    <t>Week 20</t>
  </si>
  <si>
    <t>Weeks 9-12: see below OR…..</t>
  </si>
  <si>
    <t>based on Week 17-20</t>
  </si>
  <si>
    <t>Profit per syringe</t>
  </si>
  <si>
    <t>Peptidedosages.com only has a THREE week protocol</t>
  </si>
  <si>
    <t>NAD 700mg</t>
  </si>
  <si>
    <t>Peptide Dosages.com does NOT have a protocol for 700mg</t>
  </si>
  <si>
    <t>SS-31 50mg</t>
  </si>
  <si>
    <t>What is the largest disocunt/Sale we can offer on Peptides?</t>
  </si>
  <si>
    <t>Based on highest dosage:</t>
  </si>
  <si>
    <t>Pt Price</t>
  </si>
  <si>
    <t>Based on FIRSTS MONTH</t>
  </si>
  <si>
    <t>Everthing is at $100/bottle unless otherwise noted</t>
  </si>
  <si>
    <t xml:space="preserve">Based on HIGHEST DOSAGE </t>
  </si>
  <si>
    <t>*1st mo.</t>
  </si>
  <si>
    <t>GHK-CU 50</t>
  </si>
  <si>
    <t>Kispeptin</t>
  </si>
  <si>
    <t>BPC157</t>
  </si>
  <si>
    <t>NAD 70mg</t>
  </si>
  <si>
    <t>No peptidedosages.com</t>
  </si>
  <si>
    <t>Tesamorelin 10mg  ($40/bottle)</t>
  </si>
  <si>
    <t>Epithalon  ($40/bottle)</t>
  </si>
  <si>
    <t>SS-31 ($45/bottle)</t>
  </si>
  <si>
    <t>Ara290 ($35/bottle)</t>
  </si>
  <si>
    <t>Tirz 30gm</t>
  </si>
  <si>
    <t>Reta</t>
  </si>
  <si>
    <t>Wolverine (standard)</t>
  </si>
  <si>
    <t>Wolverine (SLOW)</t>
  </si>
  <si>
    <t>Wolverine (Maintenance)</t>
  </si>
  <si>
    <t>NAD+ 1000 (ACUTE)</t>
  </si>
  <si>
    <t>NAD 1000 (Semi-Acute)</t>
  </si>
  <si>
    <t>1st month profit is less than $50 at:</t>
  </si>
  <si>
    <t>Wolverine</t>
  </si>
  <si>
    <t>Wolv SLOW</t>
  </si>
  <si>
    <t>Wolv Maintenance</t>
  </si>
  <si>
    <t>GHK-CU</t>
  </si>
  <si>
    <t>GLOW</t>
  </si>
  <si>
    <t>Kiss</t>
  </si>
  <si>
    <t>MOTS-C</t>
  </si>
  <si>
    <t>Tesa</t>
  </si>
  <si>
    <t>ARA</t>
  </si>
  <si>
    <t>SS-31</t>
  </si>
  <si>
    <t>at2ml one bottle lasts 10 injections</t>
  </si>
  <si>
    <t>at 3ml same</t>
  </si>
  <si>
    <t>500mc</t>
  </si>
  <si>
    <t>week 1</t>
  </si>
  <si>
    <t>week 2</t>
  </si>
  <si>
    <t>week 4</t>
  </si>
  <si>
    <t>week 3</t>
  </si>
  <si>
    <t>Week 21</t>
  </si>
  <si>
    <t>Week 22</t>
  </si>
  <si>
    <t>Week 23</t>
  </si>
  <si>
    <t>Week 34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</si>
  <si>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</si>
  <si>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</si>
  <si>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</si>
  <si>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</si>
  <si>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</si>
  <si>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</si>
  <si>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</si>
  <si>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</si>
  <si>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</si>
  <si>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</si>
  <si>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</si>
  <si>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</si>
  <si>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</si>
  <si>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</si>
  <si>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</si>
  <si>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</si>
  <si>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</si>
  <si>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</si>
  <si>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</si>
  <si>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</si>
  <si>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</si>
  <si>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</si>
  <si>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</si>
  <si>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</si>
  <si>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</si>
  <si>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</si>
  <si>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</si>
  <si>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</si>
  <si>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</si>
  <si>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</si>
  <si>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</si>
  <si>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1000mcg</t>
  </si>
  <si>
    <t>0.7mg =700mcg 14 20mg/ml = 10 units</t>
  </si>
  <si>
    <t>700mcg</t>
  </si>
  <si>
    <t>350mcg</t>
  </si>
  <si>
    <t>3.3mg = 3300mcg</t>
  </si>
  <si>
    <t>1.7mg-1700mcg</t>
  </si>
  <si>
    <t>8mg</t>
  </si>
  <si>
    <t>10mg</t>
  </si>
  <si>
    <t>4mg</t>
  </si>
  <si>
    <t>5mg</t>
  </si>
  <si>
    <t>6mg</t>
  </si>
  <si>
    <t>7mg</t>
  </si>
  <si>
    <t>9mg</t>
  </si>
  <si>
    <t>Plus $100 (includes BAC)</t>
  </si>
  <si>
    <t>(TITRATE DOWN)</t>
  </si>
  <si>
    <t>3mg</t>
  </si>
  <si>
    <t>2mg</t>
  </si>
  <si>
    <t>1mg</t>
  </si>
  <si>
    <t>0.5mg</t>
  </si>
  <si>
    <t>Multiple Peptides:</t>
  </si>
  <si>
    <t>If they decide to randomly start a new peptide, they will need to come in monthly (at least) for that pept.</t>
  </si>
  <si>
    <t>Patient can ONLY start ONE at a time to watch for allergic reactions, otherwise it is impossible to know which one the patient is allergic to. 
So one this week and one next week
So start #1 on the first week and then next week they can come start the next pept</t>
  </si>
  <si>
    <t>**so they are always "seen" at the beginnng of that month's TX</t>
  </si>
  <si>
    <r>
      <rPr>
        <sz val="11"/>
        <color theme="1"/>
        <rFont val="Consolas"/>
        <family val="3"/>
      </rPr>
      <t>•</t>
    </r>
    <r>
      <rPr>
        <sz val="11"/>
        <color theme="1"/>
        <rFont val="Aptos Narrow"/>
        <family val="2"/>
        <scheme val="minor"/>
      </rPr>
      <t xml:space="preserve"> Month 1 (Week 1-4): RX visit</t>
    </r>
  </si>
  <si>
    <t>• Month 2 (start of Week 5-8): vitals, monitor, take home RX for month 2</t>
  </si>
  <si>
    <t>• Month 4&amp;5 (start of Week 13-20): vitals, monitor, review BLOOD (no blood no more RX), at NP discretion pt can return in 4 or 8 weeks (send home RX accordingly).</t>
  </si>
  <si>
    <t>• Month 8,9&amp;10 (start of Week 29-36): *if they did not do blood then no more RX…..Vitals, monitor, at NP discretion pt can return in 4-12 weeks (send home RX accordingly).</t>
  </si>
  <si>
    <t>Obvioulsy every 6 months they need to do blood (or at the NP discretion).</t>
  </si>
  <si>
    <r>
      <t xml:space="preserve">• Month 3 (start of Week 9-12): vitals, monitor, take home RX for month 3, AND </t>
    </r>
    <r>
      <rPr>
        <sz val="11"/>
        <color rgb="FFFF0000"/>
        <rFont val="Aptos Narrow"/>
        <family val="2"/>
        <scheme val="minor"/>
      </rPr>
      <t>RX BLOOD</t>
    </r>
  </si>
  <si>
    <r>
      <t xml:space="preserve">• Month 6&amp;7 (start of Week 21-28): vitals, monitor, at NP discretion pt can return in 4 or 8 weeks (send home RX accordingly). </t>
    </r>
    <r>
      <rPr>
        <sz val="11"/>
        <color rgb="FFFF0000"/>
        <rFont val="Aptos Narrow"/>
        <family val="2"/>
        <scheme val="minor"/>
      </rPr>
      <t>RX for blood</t>
    </r>
    <r>
      <rPr>
        <sz val="11"/>
        <color theme="1"/>
        <rFont val="Aptos Narrow"/>
        <family val="2"/>
        <scheme val="minor"/>
      </rPr>
      <t xml:space="preserve"> and review over Telehealth</t>
    </r>
  </si>
  <si>
    <r>
      <t xml:space="preserve">• Month 11,12&amp;13 (start of Week 37-48): vitals, monitor, at NP discretion pt can return in 4-12 weeks (send home RX accordingly). </t>
    </r>
    <r>
      <rPr>
        <sz val="11"/>
        <color rgb="FFFF0000"/>
        <rFont val="Aptos Narrow"/>
        <family val="2"/>
        <scheme val="minor"/>
      </rPr>
      <t>RX for blood</t>
    </r>
    <r>
      <rPr>
        <sz val="11"/>
        <color theme="1"/>
        <rFont val="Aptos Narrow"/>
        <family val="2"/>
        <scheme val="minor"/>
      </rPr>
      <t xml:space="preserve"> and review over Telehealth</t>
    </r>
  </si>
  <si>
    <r>
      <t xml:space="preserve">Month 3-12+ </t>
    </r>
    <r>
      <rPr>
        <u/>
        <sz val="12"/>
        <color theme="1"/>
        <rFont val="Aptos Narrow"/>
        <family val="2"/>
        <scheme val="minor"/>
      </rPr>
      <t>is the same as Month 2</t>
    </r>
  </si>
  <si>
    <t>GLP-3Re 20mg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</si>
</sst>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00000"/>
  </numFmts>
  <fonts count="71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9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3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4"/>
      <color theme="0"/>
      <name val="Arial"/>
      <family val="2"/>
    </font>
    <font>
      <sz val="12"/>
      <color theme="0"/>
      <name val="Aptos Narrow"/>
      <family val="2"/>
      <scheme val="minor"/>
    </font>
    <font>
      <strike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B050"/>
      <name val="Aptos Narrow"/>
      <family val="2"/>
      <scheme val="minor"/>
    </font>
    <font>
      <b/>
      <sz val="12"/>
      <color theme="0" tint="-0.14999847407452621"/>
      <name val="Aptos Narrow"/>
      <family val="2"/>
      <scheme val="minor"/>
    </font>
    <font>
      <b/>
      <sz val="12"/>
      <color theme="0" tint="-0.249977111117893"/>
      <name val="Aptos Narrow"/>
      <family val="2"/>
      <scheme val="minor"/>
    </font>
    <font>
      <sz val="12"/>
      <color theme="0" tint="-0.249977111117893"/>
      <name val="Aptos Narrow"/>
      <family val="2"/>
      <scheme val="minor"/>
    </font>
    <font>
      <b/>
      <u/>
      <sz val="12"/>
      <color theme="0" tint="-0.249977111117893"/>
      <name val="Aptos Narrow"/>
      <family val="2"/>
      <scheme val="minor"/>
    </font>
    <font>
      <b/>
      <u val="singleAccounting"/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u/>
      <sz val="12"/>
      <color rgb="FFFF00FF"/>
      <name val="Aptos Narrow"/>
      <family val="2"/>
      <scheme val="minor"/>
    </font>
    <font>
      <sz val="12"/>
      <color theme="0" tint="-0.14999847407452621"/>
      <name val="Aptos Narrow"/>
      <family val="2"/>
      <scheme val="minor"/>
    </font>
    <font>
      <b/>
      <u/>
      <sz val="12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trike/>
      <sz val="12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FF00FF"/>
      <name val="Aptos Narrow"/>
      <family val="2"/>
      <scheme val="minor"/>
    </font>
    <font>
      <b/>
      <sz val="12"/>
      <color rgb="FFFF00FF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color theme="3" tint="0.249977111117893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  <font>
      <b/>
      <u/>
      <sz val="11"/>
      <color theme="1" tint="0.1499984740745262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u/>
      <sz val="20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u val="singleAccounting"/>
      <sz val="12"/>
      <color rgb="FFFF0000"/>
      <name val="Aptos Narrow"/>
      <family val="2"/>
      <scheme val="minor"/>
    </font>
    <font>
      <sz val="12"/>
      <color rgb="FF00B0F0"/>
      <name val="Aptos Narrow"/>
      <family val="2"/>
      <scheme val="minor"/>
    </font>
    <font>
      <sz val="12"/>
      <color theme="1" tint="0.499984740745262"/>
      <name val="Aptos Narrow"/>
      <family val="2"/>
      <scheme val="minor"/>
    </font>
    <font>
      <b/>
      <sz val="12"/>
      <color theme="1" tint="0.499984740745262"/>
      <name val="Aptos Narrow"/>
      <family val="2"/>
      <scheme val="minor"/>
    </font>
    <font>
      <b/>
      <u val="singleAccounting"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u val="singleAccounting"/>
      <sz val="12"/>
      <color rgb="FF000000"/>
      <name val="Aptos Narrow"/>
      <family val="2"/>
      <scheme val="minor"/>
    </font>
    <font>
      <b/>
      <sz val="12"/>
      <name val="Aptos Narrow"/>
      <family val="2"/>
      <scheme val="minor"/>
    </font>
    <font>
      <u val="singleAccounting"/>
      <sz val="12"/>
      <color theme="1"/>
      <name val="Aptos Narrow"/>
      <family val="2"/>
      <scheme val="minor"/>
    </font>
    <font>
      <u val="singleAccounting"/>
      <sz val="12"/>
      <color rgb="FF000000"/>
      <name val="Aptos Narrow"/>
      <family val="2"/>
      <scheme val="minor"/>
    </font>
    <font>
      <b/>
      <sz val="12"/>
      <color rgb="FF00B0F0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u val="singleAccounting"/>
      <sz val="12"/>
      <name val="Aptos Narrow"/>
      <family val="2"/>
      <scheme val="minor"/>
    </font>
    <font>
      <b/>
      <u val="singleAccounting"/>
      <sz val="12"/>
      <name val="Aptos Narrow"/>
      <family val="2"/>
      <scheme val="minor"/>
    </font>
    <font>
      <sz val="11"/>
      <color rgb="FF00B0F0"/>
      <name val="Aptos Narrow"/>
      <family val="2"/>
      <scheme val="minor"/>
    </font>
    <font>
      <b/>
      <u val="singleAccounting"/>
      <sz val="20"/>
      <color rgb="FF000000"/>
      <name val="Aptos Narrow"/>
      <family val="2"/>
      <scheme val="minor"/>
    </font>
    <font>
      <sz val="20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theme="1"/>
      <name val="Consolas"/>
      <family val="3"/>
    </font>
    <font>
      <sz val="11"/>
      <color theme="1"/>
      <name val="Aptos Narrow"/>
      <family val="3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-0.499984740745262"/>
        <bgColor theme="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theme="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749992370372631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1" tint="0.249977111117893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theme="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7558519241921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7558519241921"/>
      </left>
      <right/>
      <top style="thin">
        <color theme="4" tint="0.39994506668294322"/>
      </top>
      <bottom style="thin">
        <color theme="4" tint="0.39997558519241921"/>
      </bottom>
      <diagonal/>
    </border>
    <border>
      <left/>
      <right/>
      <top style="thin">
        <color theme="4" tint="0.39994506668294322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4506668294322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17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666">
    <xf numFmtId="0" fontId="0" fillId="0" borderId="0" xfId="0"/>
    <xf numFmtId="0" fontId="0" fillId="0" borderId="0" xfId="0" applyAlignment="1">
      <alignment horizontal="center" vertical="center" wrapText="1"/>
    </xf>
    <xf numFmtId="6" fontId="0" fillId="0" borderId="0" xfId="0" applyNumberForma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6" fontId="0" fillId="2" borderId="1" xfId="0" applyNumberFormat="1" applyFill="1" applyBorder="1" applyAlignment="1">
      <alignment horizontal="center" vertical="center" wrapText="1"/>
    </xf>
    <xf numFmtId="6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6" fontId="0" fillId="2" borderId="3" xfId="0" applyNumberFormat="1" applyFill="1" applyBorder="1" applyAlignment="1">
      <alignment horizontal="center" vertical="center" wrapText="1"/>
    </xf>
    <xf numFmtId="6" fontId="0" fillId="2" borderId="0" xfId="0" applyNumberFormat="1" applyFill="1" applyAlignment="1">
      <alignment horizontal="center" vertical="center" wrapText="1"/>
    </xf>
    <xf numFmtId="0" fontId="16" fillId="0" borderId="0" xfId="0" applyFont="1"/>
    <xf numFmtId="2" fontId="0" fillId="0" borderId="0" xfId="0" applyNumberFormat="1"/>
    <xf numFmtId="44" fontId="0" fillId="0" borderId="0" xfId="1" applyFont="1"/>
    <xf numFmtId="0" fontId="18" fillId="0" borderId="0" xfId="0" applyFont="1"/>
    <xf numFmtId="0" fontId="19" fillId="0" borderId="0" xfId="2"/>
    <xf numFmtId="0" fontId="14" fillId="0" borderId="0" xfId="0" applyFont="1" applyAlignment="1">
      <alignment horizontal="center" vertical="center" wrapText="1"/>
    </xf>
    <xf numFmtId="0" fontId="20" fillId="4" borderId="6" xfId="0" applyFont="1" applyFill="1" applyBorder="1" applyAlignment="1">
      <alignment horizontal="center" vertical="center" wrapText="1"/>
    </xf>
    <xf numFmtId="6" fontId="0" fillId="0" borderId="3" xfId="0" applyNumberFormat="1" applyBorder="1" applyAlignment="1">
      <alignment horizontal="center" vertical="center" wrapText="1"/>
    </xf>
    <xf numFmtId="6" fontId="0" fillId="8" borderId="3" xfId="0" applyNumberFormat="1" applyFill="1" applyBorder="1" applyAlignment="1">
      <alignment horizontal="center" vertical="center" wrapText="1"/>
    </xf>
    <xf numFmtId="8" fontId="21" fillId="5" borderId="6" xfId="0" applyNumberFormat="1" applyFont="1" applyFill="1" applyBorder="1" applyAlignment="1">
      <alignment horizontal="right" vertical="center"/>
    </xf>
    <xf numFmtId="6" fontId="20" fillId="4" borderId="7" xfId="0" applyNumberFormat="1" applyFont="1" applyFill="1" applyBorder="1" applyAlignment="1">
      <alignment horizontal="center" vertical="center" wrapText="1"/>
    </xf>
    <xf numFmtId="6" fontId="22" fillId="5" borderId="0" xfId="0" applyNumberFormat="1" applyFont="1" applyFill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1" fillId="7" borderId="9" xfId="0" applyFont="1" applyFill="1" applyBorder="1"/>
    <xf numFmtId="0" fontId="20" fillId="6" borderId="10" xfId="0" applyFont="1" applyFill="1" applyBorder="1" applyAlignment="1">
      <alignment horizontal="center" vertical="center" wrapText="1"/>
    </xf>
    <xf numFmtId="6" fontId="0" fillId="10" borderId="1" xfId="0" applyNumberFormat="1" applyFill="1" applyBorder="1" applyAlignment="1">
      <alignment horizontal="center" vertical="center" wrapText="1"/>
    </xf>
    <xf numFmtId="6" fontId="0" fillId="9" borderId="1" xfId="0" applyNumberFormat="1" applyFill="1" applyBorder="1" applyAlignment="1">
      <alignment horizontal="center" vertical="center" wrapText="1"/>
    </xf>
    <xf numFmtId="6" fontId="0" fillId="10" borderId="3" xfId="0" applyNumberFormat="1" applyFill="1" applyBorder="1" applyAlignment="1">
      <alignment horizontal="center" vertical="center" wrapText="1"/>
    </xf>
    <xf numFmtId="6" fontId="0" fillId="8" borderId="1" xfId="0" applyNumberFormat="1" applyFill="1" applyBorder="1" applyAlignment="1">
      <alignment horizontal="center" vertical="center" wrapText="1"/>
    </xf>
    <xf numFmtId="6" fontId="23" fillId="8" borderId="3" xfId="0" applyNumberFormat="1" applyFont="1" applyFill="1" applyBorder="1" applyAlignment="1">
      <alignment horizontal="center" vertical="center" wrapText="1"/>
    </xf>
    <xf numFmtId="6" fontId="23" fillId="0" borderId="3" xfId="0" applyNumberFormat="1" applyFont="1" applyBorder="1" applyAlignment="1">
      <alignment horizontal="center" vertical="center" wrapText="1"/>
    </xf>
    <xf numFmtId="6" fontId="23" fillId="8" borderId="1" xfId="0" applyNumberFormat="1" applyFont="1" applyFill="1" applyBorder="1" applyAlignment="1">
      <alignment horizontal="center" vertical="center" wrapText="1"/>
    </xf>
    <xf numFmtId="6" fontId="23" fillId="0" borderId="1" xfId="0" applyNumberFormat="1" applyFont="1" applyBorder="1" applyAlignment="1">
      <alignment horizontal="center" vertical="center" wrapText="1"/>
    </xf>
    <xf numFmtId="6" fontId="23" fillId="0" borderId="12" xfId="0" applyNumberFormat="1" applyFont="1" applyBorder="1" applyAlignment="1">
      <alignment horizontal="center" vertical="center" wrapText="1"/>
    </xf>
    <xf numFmtId="6" fontId="0" fillId="8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6" fontId="0" fillId="12" borderId="1" xfId="0" applyNumberFormat="1" applyFill="1" applyBorder="1" applyAlignment="1">
      <alignment horizontal="center" vertical="center" wrapText="1"/>
    </xf>
    <xf numFmtId="0" fontId="20" fillId="11" borderId="2" xfId="0" applyFont="1" applyFill="1" applyBorder="1" applyAlignment="1">
      <alignment horizontal="center" vertical="center" wrapText="1"/>
    </xf>
    <xf numFmtId="0" fontId="20" fillId="11" borderId="14" xfId="0" applyFont="1" applyFill="1" applyBorder="1" applyAlignment="1">
      <alignment horizontal="center" vertical="center" wrapText="1"/>
    </xf>
    <xf numFmtId="6" fontId="0" fillId="13" borderId="3" xfId="0" applyNumberFormat="1" applyFill="1" applyBorder="1" applyAlignment="1">
      <alignment horizontal="center" vertical="center" wrapText="1"/>
    </xf>
    <xf numFmtId="6" fontId="0" fillId="13" borderId="1" xfId="0" applyNumberForma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20" fillId="4" borderId="5" xfId="0" applyFont="1" applyFill="1" applyBorder="1" applyAlignment="1">
      <alignment horizontal="left" vertical="center" wrapText="1"/>
    </xf>
    <xf numFmtId="0" fontId="20" fillId="6" borderId="8" xfId="0" applyFont="1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3" fillId="0" borderId="3" xfId="0" applyFont="1" applyBorder="1" applyAlignment="1">
      <alignment horizontal="left" vertical="center" wrapText="1"/>
    </xf>
    <xf numFmtId="0" fontId="23" fillId="0" borderId="11" xfId="0" applyFont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14" fillId="0" borderId="2" xfId="0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20" fillId="11" borderId="13" xfId="0" applyFont="1" applyFill="1" applyBorder="1" applyAlignment="1">
      <alignment horizontal="left" vertical="center" wrapText="1"/>
    </xf>
    <xf numFmtId="6" fontId="0" fillId="10" borderId="0" xfId="0" applyNumberFormat="1" applyFill="1" applyAlignment="1">
      <alignment horizontal="center" vertical="center" wrapText="1"/>
    </xf>
    <xf numFmtId="6" fontId="0" fillId="12" borderId="0" xfId="0" applyNumberFormat="1" applyFill="1" applyAlignment="1">
      <alignment horizontal="center" vertical="center" wrapText="1"/>
    </xf>
    <xf numFmtId="0" fontId="12" fillId="0" borderId="0" xfId="0" applyFont="1"/>
    <xf numFmtId="0" fontId="0" fillId="0" borderId="0" xfId="0" applyAlignment="1">
      <alignment horizontal="right"/>
    </xf>
    <xf numFmtId="8" fontId="0" fillId="0" borderId="0" xfId="1" applyNumberFormat="1" applyFont="1"/>
    <xf numFmtId="0" fontId="24" fillId="0" borderId="0" xfId="0" applyFont="1"/>
    <xf numFmtId="44" fontId="24" fillId="0" borderId="0" xfId="1" applyFont="1"/>
    <xf numFmtId="44" fontId="25" fillId="0" borderId="0" xfId="1" applyFont="1"/>
    <xf numFmtId="0" fontId="0" fillId="0" borderId="0" xfId="0" applyAlignment="1">
      <alignment wrapText="1"/>
    </xf>
    <xf numFmtId="6" fontId="23" fillId="13" borderId="3" xfId="0" applyNumberFormat="1" applyFont="1" applyFill="1" applyBorder="1" applyAlignment="1">
      <alignment horizontal="center" vertical="center" wrapText="1"/>
    </xf>
    <xf numFmtId="6" fontId="23" fillId="13" borderId="1" xfId="0" applyNumberFormat="1" applyFont="1" applyFill="1" applyBorder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0" fillId="0" borderId="4" xfId="0" applyBorder="1" applyAlignment="1">
      <alignment horizontal="right"/>
    </xf>
    <xf numFmtId="3" fontId="17" fillId="15" borderId="0" xfId="1" applyNumberFormat="1" applyFont="1" applyFill="1" applyAlignment="1" applyProtection="1">
      <alignment wrapText="1"/>
      <protection locked="0"/>
    </xf>
    <xf numFmtId="2" fontId="0" fillId="15" borderId="0" xfId="1" applyNumberFormat="1" applyFont="1" applyFill="1" applyProtection="1">
      <protection locked="0"/>
    </xf>
    <xf numFmtId="3" fontId="17" fillId="15" borderId="0" xfId="1" applyNumberFormat="1" applyFont="1" applyFill="1" applyProtection="1">
      <protection locked="0"/>
    </xf>
    <xf numFmtId="2" fontId="0" fillId="15" borderId="4" xfId="1" applyNumberFormat="1" applyFont="1" applyFill="1" applyBorder="1" applyProtection="1">
      <protection locked="0"/>
    </xf>
    <xf numFmtId="3" fontId="17" fillId="15" borderId="4" xfId="1" applyNumberFormat="1" applyFont="1" applyFill="1" applyBorder="1" applyProtection="1">
      <protection locked="0"/>
    </xf>
    <xf numFmtId="3" fontId="0" fillId="15" borderId="0" xfId="1" applyNumberFormat="1" applyFont="1" applyFill="1" applyProtection="1">
      <protection locked="0"/>
    </xf>
    <xf numFmtId="2" fontId="17" fillId="0" borderId="0" xfId="0" applyNumberFormat="1" applyFont="1" applyAlignment="1">
      <alignment horizontal="left"/>
    </xf>
    <xf numFmtId="2" fontId="17" fillId="0" borderId="0" xfId="1" applyNumberFormat="1" applyFont="1" applyProtection="1"/>
    <xf numFmtId="3" fontId="0" fillId="0" borderId="0" xfId="1" applyNumberFormat="1" applyFont="1" applyProtection="1"/>
    <xf numFmtId="2" fontId="0" fillId="0" borderId="0" xfId="1" applyNumberFormat="1" applyFont="1" applyProtection="1"/>
    <xf numFmtId="2" fontId="0" fillId="0" borderId="0" xfId="1" applyNumberFormat="1" applyFont="1" applyAlignment="1" applyProtection="1">
      <alignment wrapText="1"/>
    </xf>
    <xf numFmtId="2" fontId="0" fillId="0" borderId="0" xfId="1" applyNumberFormat="1" applyFont="1" applyFill="1" applyProtection="1"/>
    <xf numFmtId="3" fontId="0" fillId="0" borderId="0" xfId="1" applyNumberFormat="1" applyFont="1" applyFill="1" applyBorder="1" applyProtection="1"/>
    <xf numFmtId="2" fontId="0" fillId="0" borderId="0" xfId="1" applyNumberFormat="1" applyFont="1" applyFill="1" applyBorder="1" applyProtection="1"/>
    <xf numFmtId="44" fontId="24" fillId="0" borderId="0" xfId="1" applyFont="1" applyFill="1" applyBorder="1" applyProtection="1"/>
    <xf numFmtId="44" fontId="24" fillId="0" borderId="0" xfId="1" applyFont="1" applyProtection="1"/>
    <xf numFmtId="2" fontId="18" fillId="0" borderId="0" xfId="0" applyNumberFormat="1" applyFont="1"/>
    <xf numFmtId="2" fontId="27" fillId="0" borderId="0" xfId="1" applyNumberFormat="1" applyFont="1" applyAlignment="1" applyProtection="1">
      <alignment horizontal="right"/>
    </xf>
    <xf numFmtId="2" fontId="17" fillId="0" borderId="0" xfId="1" applyNumberFormat="1" applyFont="1" applyFill="1" applyProtection="1"/>
    <xf numFmtId="44" fontId="17" fillId="0" borderId="0" xfId="1" applyFont="1" applyFill="1" applyBorder="1" applyAlignment="1" applyProtection="1">
      <alignment horizontal="right"/>
    </xf>
    <xf numFmtId="44" fontId="0" fillId="0" borderId="0" xfId="1" applyFont="1" applyFill="1" applyBorder="1" applyProtection="1"/>
    <xf numFmtId="44" fontId="25" fillId="0" borderId="0" xfId="1" applyFont="1" applyProtection="1"/>
    <xf numFmtId="0" fontId="0" fillId="16" borderId="0" xfId="0" applyFill="1"/>
    <xf numFmtId="0" fontId="0" fillId="0" borderId="0" xfId="0" applyAlignment="1">
      <alignment horizontal="center"/>
    </xf>
    <xf numFmtId="3" fontId="0" fillId="0" borderId="0" xfId="0" applyNumberFormat="1"/>
    <xf numFmtId="2" fontId="0" fillId="0" borderId="4" xfId="1" applyNumberFormat="1" applyFont="1" applyBorder="1" applyProtection="1"/>
    <xf numFmtId="44" fontId="0" fillId="0" borderId="0" xfId="1" applyFont="1" applyProtection="1"/>
    <xf numFmtId="2" fontId="17" fillId="0" borderId="0" xfId="1" applyNumberFormat="1" applyFont="1" applyBorder="1" applyAlignment="1" applyProtection="1">
      <alignment horizontal="center" wrapText="1"/>
    </xf>
    <xf numFmtId="2" fontId="17" fillId="0" borderId="4" xfId="0" applyNumberFormat="1" applyFont="1" applyBorder="1" applyAlignment="1">
      <alignment horizontal="left"/>
    </xf>
    <xf numFmtId="2" fontId="0" fillId="15" borderId="4" xfId="1" applyNumberFormat="1" applyFont="1" applyFill="1" applyBorder="1" applyProtection="1"/>
    <xf numFmtId="3" fontId="17" fillId="15" borderId="4" xfId="1" applyNumberFormat="1" applyFont="1" applyFill="1" applyBorder="1" applyProtection="1"/>
    <xf numFmtId="2" fontId="17" fillId="0" borderId="4" xfId="1" applyNumberFormat="1" applyFont="1" applyBorder="1" applyAlignment="1" applyProtection="1">
      <alignment horizontal="center" wrapText="1"/>
    </xf>
    <xf numFmtId="2" fontId="18" fillId="18" borderId="0" xfId="0" applyNumberFormat="1" applyFont="1" applyFill="1"/>
    <xf numFmtId="2" fontId="17" fillId="18" borderId="0" xfId="1" applyNumberFormat="1" applyFont="1" applyFill="1" applyProtection="1"/>
    <xf numFmtId="3" fontId="0" fillId="18" borderId="0" xfId="1" applyNumberFormat="1" applyFont="1" applyFill="1" applyProtection="1"/>
    <xf numFmtId="2" fontId="0" fillId="18" borderId="0" xfId="1" applyNumberFormat="1" applyFont="1" applyFill="1" applyProtection="1"/>
    <xf numFmtId="2" fontId="0" fillId="18" borderId="0" xfId="1" applyNumberFormat="1" applyFont="1" applyFill="1" applyAlignment="1" applyProtection="1">
      <alignment wrapText="1"/>
    </xf>
    <xf numFmtId="2" fontId="14" fillId="0" borderId="0" xfId="1" applyNumberFormat="1" applyFont="1" applyAlignment="1" applyProtection="1">
      <alignment horizontal="center" wrapText="1"/>
    </xf>
    <xf numFmtId="2" fontId="28" fillId="0" borderId="0" xfId="1" applyNumberFormat="1" applyFont="1" applyProtection="1"/>
    <xf numFmtId="2" fontId="29" fillId="0" borderId="0" xfId="1" applyNumberFormat="1" applyFont="1" applyFill="1" applyProtection="1"/>
    <xf numFmtId="44" fontId="28" fillId="0" borderId="0" xfId="1" applyFont="1" applyFill="1" applyAlignment="1" applyProtection="1">
      <alignment horizontal="right"/>
    </xf>
    <xf numFmtId="44" fontId="28" fillId="0" borderId="0" xfId="1" applyFont="1" applyFill="1" applyProtection="1"/>
    <xf numFmtId="2" fontId="18" fillId="14" borderId="0" xfId="1" applyNumberFormat="1" applyFont="1" applyFill="1" applyAlignment="1" applyProtection="1">
      <alignment horizontal="center"/>
    </xf>
    <xf numFmtId="44" fontId="0" fillId="0" borderId="0" xfId="1" applyFont="1" applyAlignment="1" applyProtection="1">
      <alignment wrapText="1"/>
    </xf>
    <xf numFmtId="44" fontId="14" fillId="0" borderId="0" xfId="1" applyFont="1" applyAlignment="1" applyProtection="1">
      <alignment horizontal="center" wrapText="1"/>
    </xf>
    <xf numFmtId="44" fontId="0" fillId="0" borderId="0" xfId="1" applyFont="1" applyFill="1" applyProtection="1"/>
    <xf numFmtId="3" fontId="12" fillId="0" borderId="0" xfId="1" applyNumberFormat="1" applyFont="1" applyProtection="1"/>
    <xf numFmtId="44" fontId="0" fillId="0" borderId="0" xfId="1" applyFont="1" applyAlignment="1" applyProtection="1">
      <alignment horizontal="right"/>
    </xf>
    <xf numFmtId="44" fontId="0" fillId="14" borderId="0" xfId="1" applyFont="1" applyFill="1" applyProtection="1"/>
    <xf numFmtId="44" fontId="17" fillId="0" borderId="0" xfId="1" applyFont="1" applyProtection="1"/>
    <xf numFmtId="44" fontId="12" fillId="0" borderId="0" xfId="1" applyFont="1" applyBorder="1" applyAlignment="1" applyProtection="1">
      <alignment wrapText="1"/>
    </xf>
    <xf numFmtId="3" fontId="12" fillId="0" borderId="0" xfId="1" applyNumberFormat="1" applyFont="1" applyBorder="1" applyAlignment="1" applyProtection="1">
      <alignment wrapText="1"/>
    </xf>
    <xf numFmtId="44" fontId="12" fillId="0" borderId="0" xfId="1" applyFont="1" applyFill="1" applyAlignment="1" applyProtection="1">
      <alignment wrapText="1"/>
    </xf>
    <xf numFmtId="44" fontId="12" fillId="0" borderId="0" xfId="1" applyFont="1" applyAlignment="1" applyProtection="1">
      <alignment wrapText="1"/>
    </xf>
    <xf numFmtId="2" fontId="20" fillId="0" borderId="0" xfId="1" applyNumberFormat="1" applyFont="1" applyAlignment="1" applyProtection="1">
      <alignment horizontal="center" wrapText="1"/>
    </xf>
    <xf numFmtId="2" fontId="12" fillId="0" borderId="0" xfId="1" applyNumberFormat="1" applyFont="1" applyProtection="1"/>
    <xf numFmtId="44" fontId="24" fillId="0" borderId="0" xfId="1" applyFont="1" applyFill="1" applyProtection="1"/>
    <xf numFmtId="44" fontId="12" fillId="14" borderId="0" xfId="1" applyFont="1" applyFill="1" applyAlignment="1" applyProtection="1">
      <alignment horizontal="right"/>
    </xf>
    <xf numFmtId="44" fontId="12" fillId="14" borderId="0" xfId="1" applyFont="1" applyFill="1" applyProtection="1"/>
    <xf numFmtId="2" fontId="28" fillId="0" borderId="0" xfId="1" applyNumberFormat="1" applyFont="1" applyFill="1" applyProtection="1"/>
    <xf numFmtId="2" fontId="18" fillId="3" borderId="0" xfId="0" applyNumberFormat="1" applyFont="1" applyFill="1"/>
    <xf numFmtId="2" fontId="17" fillId="3" borderId="0" xfId="1" applyNumberFormat="1" applyFont="1" applyFill="1" applyProtection="1"/>
    <xf numFmtId="3" fontId="0" fillId="3" borderId="0" xfId="1" applyNumberFormat="1" applyFont="1" applyFill="1" applyProtection="1"/>
    <xf numFmtId="2" fontId="0" fillId="3" borderId="0" xfId="1" applyNumberFormat="1" applyFont="1" applyFill="1" applyProtection="1"/>
    <xf numFmtId="2" fontId="0" fillId="3" borderId="0" xfId="1" applyNumberFormat="1" applyFont="1" applyFill="1" applyAlignment="1" applyProtection="1">
      <alignment wrapText="1"/>
    </xf>
    <xf numFmtId="2" fontId="14" fillId="3" borderId="0" xfId="1" applyNumberFormat="1" applyFont="1" applyFill="1" applyAlignment="1" applyProtection="1">
      <alignment horizontal="center" wrapText="1"/>
    </xf>
    <xf numFmtId="2" fontId="28" fillId="3" borderId="0" xfId="1" applyNumberFormat="1" applyFont="1" applyFill="1" applyProtection="1"/>
    <xf numFmtId="2" fontId="29" fillId="3" borderId="0" xfId="1" applyNumberFormat="1" applyFont="1" applyFill="1" applyProtection="1"/>
    <xf numFmtId="44" fontId="28" fillId="3" borderId="0" xfId="1" applyFont="1" applyFill="1" applyAlignment="1" applyProtection="1">
      <alignment horizontal="right"/>
    </xf>
    <xf numFmtId="0" fontId="0" fillId="17" borderId="0" xfId="0" applyFill="1" applyAlignment="1">
      <alignment horizontal="right"/>
    </xf>
    <xf numFmtId="44" fontId="24" fillId="0" borderId="4" xfId="1" applyFont="1" applyBorder="1" applyProtection="1"/>
    <xf numFmtId="44" fontId="25" fillId="0" borderId="4" xfId="1" applyFont="1" applyBorder="1" applyProtection="1"/>
    <xf numFmtId="2" fontId="0" fillId="0" borderId="4" xfId="1" applyNumberFormat="1" applyFont="1" applyFill="1" applyBorder="1" applyAlignment="1" applyProtection="1">
      <alignment wrapText="1"/>
    </xf>
    <xf numFmtId="2" fontId="0" fillId="0" borderId="15" xfId="1" applyNumberFormat="1" applyFont="1" applyFill="1" applyBorder="1" applyAlignment="1" applyProtection="1">
      <alignment wrapText="1"/>
    </xf>
    <xf numFmtId="2" fontId="17" fillId="0" borderId="0" xfId="1" applyNumberFormat="1" applyFont="1" applyAlignment="1" applyProtection="1">
      <alignment horizontal="center" wrapText="1"/>
    </xf>
    <xf numFmtId="2" fontId="0" fillId="0" borderId="0" xfId="1" applyNumberFormat="1" applyFont="1" applyFill="1" applyBorder="1" applyAlignment="1" applyProtection="1">
      <alignment wrapText="1"/>
    </xf>
    <xf numFmtId="44" fontId="12" fillId="0" borderId="4" xfId="1" applyFont="1" applyBorder="1" applyAlignment="1" applyProtection="1">
      <alignment wrapText="1"/>
    </xf>
    <xf numFmtId="3" fontId="12" fillId="0" borderId="4" xfId="1" applyNumberFormat="1" applyFont="1" applyBorder="1" applyAlignment="1" applyProtection="1">
      <alignment wrapText="1"/>
    </xf>
    <xf numFmtId="44" fontId="12" fillId="0" borderId="4" xfId="1" applyFont="1" applyBorder="1" applyAlignment="1" applyProtection="1">
      <alignment horizontal="center" wrapText="1"/>
    </xf>
    <xf numFmtId="2" fontId="14" fillId="18" borderId="0" xfId="1" applyNumberFormat="1" applyFont="1" applyFill="1" applyAlignment="1" applyProtection="1">
      <alignment horizontal="center" wrapText="1"/>
    </xf>
    <xf numFmtId="44" fontId="18" fillId="0" borderId="0" xfId="1" applyFont="1" applyFill="1" applyProtection="1"/>
    <xf numFmtId="44" fontId="24" fillId="0" borderId="0" xfId="1" applyFont="1" applyFill="1" applyAlignment="1" applyProtection="1">
      <alignment horizontal="right"/>
    </xf>
    <xf numFmtId="0" fontId="28" fillId="0" borderId="0" xfId="0" applyFont="1"/>
    <xf numFmtId="44" fontId="28" fillId="0" borderId="0" xfId="1" applyFont="1" applyProtection="1"/>
    <xf numFmtId="44" fontId="0" fillId="0" borderId="4" xfId="1" applyFont="1" applyBorder="1" applyProtection="1"/>
    <xf numFmtId="44" fontId="22" fillId="0" borderId="0" xfId="1" applyFont="1" applyProtection="1"/>
    <xf numFmtId="3" fontId="0" fillId="0" borderId="0" xfId="1" applyNumberFormat="1" applyFont="1" applyFill="1" applyProtection="1"/>
    <xf numFmtId="0" fontId="18" fillId="17" borderId="0" xfId="0" applyFont="1" applyFill="1"/>
    <xf numFmtId="44" fontId="24" fillId="17" borderId="0" xfId="1" applyFont="1" applyFill="1" applyProtection="1"/>
    <xf numFmtId="44" fontId="0" fillId="17" borderId="0" xfId="1" applyFont="1" applyFill="1" applyProtection="1"/>
    <xf numFmtId="44" fontId="0" fillId="17" borderId="0" xfId="1" applyFont="1" applyFill="1" applyAlignment="1" applyProtection="1">
      <alignment wrapText="1"/>
    </xf>
    <xf numFmtId="44" fontId="14" fillId="17" borderId="0" xfId="1" applyFont="1" applyFill="1" applyAlignment="1" applyProtection="1">
      <alignment horizontal="center" wrapText="1"/>
    </xf>
    <xf numFmtId="3" fontId="0" fillId="17" borderId="0" xfId="1" applyNumberFormat="1" applyFont="1" applyFill="1" applyProtection="1"/>
    <xf numFmtId="44" fontId="18" fillId="17" borderId="0" xfId="1" applyFont="1" applyFill="1" applyProtection="1"/>
    <xf numFmtId="44" fontId="24" fillId="17" borderId="0" xfId="1" applyFont="1" applyFill="1" applyAlignment="1" applyProtection="1">
      <alignment horizontal="right"/>
    </xf>
    <xf numFmtId="2" fontId="26" fillId="0" borderId="0" xfId="1" applyNumberFormat="1" applyFont="1" applyAlignment="1" applyProtection="1">
      <alignment horizontal="center" wrapText="1"/>
    </xf>
    <xf numFmtId="2" fontId="32" fillId="0" borderId="0" xfId="0" applyNumberFormat="1" applyFont="1"/>
    <xf numFmtId="44" fontId="12" fillId="20" borderId="0" xfId="1" applyFont="1" applyFill="1" applyBorder="1" applyAlignment="1" applyProtection="1">
      <alignment wrapText="1"/>
    </xf>
    <xf numFmtId="44" fontId="24" fillId="0" borderId="0" xfId="1" applyFont="1" applyBorder="1" applyProtection="1"/>
    <xf numFmtId="2" fontId="18" fillId="20" borderId="0" xfId="0" applyNumberFormat="1" applyFont="1" applyFill="1"/>
    <xf numFmtId="2" fontId="17" fillId="20" borderId="0" xfId="1" applyNumberFormat="1" applyFont="1" applyFill="1" applyProtection="1"/>
    <xf numFmtId="3" fontId="0" fillId="20" borderId="0" xfId="1" applyNumberFormat="1" applyFont="1" applyFill="1" applyProtection="1"/>
    <xf numFmtId="2" fontId="0" fillId="20" borderId="0" xfId="1" applyNumberFormat="1" applyFont="1" applyFill="1" applyProtection="1"/>
    <xf numFmtId="2" fontId="0" fillId="20" borderId="0" xfId="1" applyNumberFormat="1" applyFont="1" applyFill="1" applyAlignment="1" applyProtection="1">
      <alignment wrapText="1"/>
    </xf>
    <xf numFmtId="2" fontId="27" fillId="20" borderId="0" xfId="1" applyNumberFormat="1" applyFont="1" applyFill="1" applyAlignment="1" applyProtection="1">
      <alignment horizontal="right"/>
    </xf>
    <xf numFmtId="2" fontId="17" fillId="20" borderId="0" xfId="1" applyNumberFormat="1" applyFont="1" applyFill="1" applyAlignment="1" applyProtection="1">
      <alignment horizontal="right"/>
    </xf>
    <xf numFmtId="3" fontId="0" fillId="20" borderId="0" xfId="1" applyNumberFormat="1" applyFont="1" applyFill="1" applyBorder="1" applyProtection="1"/>
    <xf numFmtId="2" fontId="0" fillId="20" borderId="0" xfId="1" applyNumberFormat="1" applyFont="1" applyFill="1" applyBorder="1" applyProtection="1"/>
    <xf numFmtId="44" fontId="24" fillId="20" borderId="0" xfId="1" applyFont="1" applyFill="1" applyBorder="1" applyProtection="1"/>
    <xf numFmtId="44" fontId="17" fillId="20" borderId="0" xfId="1" applyFont="1" applyFill="1" applyBorder="1" applyAlignment="1" applyProtection="1">
      <alignment horizontal="right"/>
    </xf>
    <xf numFmtId="0" fontId="12" fillId="20" borderId="4" xfId="0" applyFont="1" applyFill="1" applyBorder="1" applyAlignment="1">
      <alignment wrapText="1"/>
    </xf>
    <xf numFmtId="44" fontId="12" fillId="20" borderId="4" xfId="1" applyFont="1" applyFill="1" applyBorder="1" applyAlignment="1" applyProtection="1">
      <alignment wrapText="1"/>
    </xf>
    <xf numFmtId="3" fontId="12" fillId="20" borderId="4" xfId="1" applyNumberFormat="1" applyFont="1" applyFill="1" applyBorder="1" applyAlignment="1" applyProtection="1">
      <alignment wrapText="1"/>
    </xf>
    <xf numFmtId="44" fontId="12" fillId="20" borderId="4" xfId="1" applyFont="1" applyFill="1" applyBorder="1" applyAlignment="1" applyProtection="1">
      <alignment horizontal="center" wrapText="1"/>
    </xf>
    <xf numFmtId="0" fontId="0" fillId="20" borderId="0" xfId="0" applyFill="1" applyAlignment="1">
      <alignment horizontal="right"/>
    </xf>
    <xf numFmtId="0" fontId="0" fillId="20" borderId="0" xfId="0" applyFill="1"/>
    <xf numFmtId="0" fontId="0" fillId="20" borderId="0" xfId="0" applyFill="1" applyAlignment="1">
      <alignment wrapText="1"/>
    </xf>
    <xf numFmtId="2" fontId="0" fillId="0" borderId="0" xfId="1" applyNumberFormat="1" applyFont="1" applyFill="1" applyAlignment="1" applyProtection="1">
      <alignment wrapText="1"/>
    </xf>
    <xf numFmtId="2" fontId="27" fillId="0" borderId="0" xfId="1" applyNumberFormat="1" applyFont="1" applyFill="1" applyAlignment="1" applyProtection="1">
      <alignment horizontal="right"/>
    </xf>
    <xf numFmtId="2" fontId="17" fillId="0" borderId="0" xfId="1" applyNumberFormat="1" applyFont="1" applyFill="1" applyAlignment="1" applyProtection="1">
      <alignment horizontal="right"/>
    </xf>
    <xf numFmtId="3" fontId="17" fillId="15" borderId="0" xfId="1" applyNumberFormat="1" applyFont="1" applyFill="1" applyProtection="1"/>
    <xf numFmtId="2" fontId="0" fillId="0" borderId="0" xfId="0" applyNumberFormat="1" applyAlignment="1">
      <alignment horizontal="left"/>
    </xf>
    <xf numFmtId="2" fontId="20" fillId="21" borderId="0" xfId="1" applyNumberFormat="1" applyFont="1" applyFill="1" applyAlignment="1" applyProtection="1">
      <alignment horizontal="center" wrapText="1"/>
    </xf>
    <xf numFmtId="2" fontId="0" fillId="0" borderId="4" xfId="0" applyNumberFormat="1" applyBorder="1" applyAlignment="1">
      <alignment horizontal="left"/>
    </xf>
    <xf numFmtId="2" fontId="12" fillId="0" borderId="0" xfId="1" applyNumberFormat="1" applyFont="1" applyFill="1" applyAlignment="1" applyProtection="1">
      <alignment horizontal="center" wrapText="1"/>
    </xf>
    <xf numFmtId="2" fontId="18" fillId="0" borderId="0" xfId="1" applyNumberFormat="1" applyFont="1" applyFill="1" applyBorder="1" applyAlignment="1" applyProtection="1">
      <alignment horizontal="center"/>
    </xf>
    <xf numFmtId="44" fontId="0" fillId="0" borderId="0" xfId="1" applyFont="1" applyBorder="1" applyProtection="1"/>
    <xf numFmtId="2" fontId="0" fillId="15" borderId="0" xfId="1" applyNumberFormat="1" applyFont="1" applyFill="1" applyProtection="1"/>
    <xf numFmtId="6" fontId="24" fillId="0" borderId="0" xfId="1" applyNumberFormat="1" applyFont="1" applyProtection="1"/>
    <xf numFmtId="44" fontId="24" fillId="14" borderId="0" xfId="1" applyFont="1" applyFill="1" applyProtection="1"/>
    <xf numFmtId="44" fontId="24" fillId="14" borderId="0" xfId="1" applyFont="1" applyFill="1" applyAlignment="1" applyProtection="1">
      <alignment wrapText="1"/>
    </xf>
    <xf numFmtId="44" fontId="35" fillId="14" borderId="0" xfId="1" applyFont="1" applyFill="1" applyAlignment="1" applyProtection="1">
      <alignment horizontal="center" wrapText="1"/>
    </xf>
    <xf numFmtId="3" fontId="24" fillId="14" borderId="0" xfId="1" applyNumberFormat="1" applyFont="1" applyFill="1" applyProtection="1"/>
    <xf numFmtId="44" fontId="34" fillId="14" borderId="0" xfId="1" applyFont="1" applyFill="1" applyProtection="1"/>
    <xf numFmtId="44" fontId="24" fillId="14" borderId="0" xfId="1" applyFont="1" applyFill="1" applyAlignment="1" applyProtection="1">
      <alignment horizontal="right"/>
    </xf>
    <xf numFmtId="44" fontId="17" fillId="14" borderId="0" xfId="1" applyFont="1" applyFill="1" applyProtection="1"/>
    <xf numFmtId="14" fontId="0" fillId="0" borderId="0" xfId="0" applyNumberFormat="1"/>
    <xf numFmtId="2" fontId="18" fillId="3" borderId="0" xfId="1" applyNumberFormat="1" applyFont="1" applyFill="1" applyAlignment="1" applyProtection="1">
      <alignment horizontal="center"/>
    </xf>
    <xf numFmtId="44" fontId="0" fillId="3" borderId="0" xfId="1" applyFont="1" applyFill="1" applyProtection="1"/>
    <xf numFmtId="0" fontId="20" fillId="22" borderId="2" xfId="0" applyFont="1" applyFill="1" applyBorder="1" applyAlignment="1">
      <alignment horizontal="center" vertical="center" wrapText="1"/>
    </xf>
    <xf numFmtId="9" fontId="20" fillId="22" borderId="2" xfId="0" applyNumberFormat="1" applyFont="1" applyFill="1" applyBorder="1" applyAlignment="1">
      <alignment horizontal="center" vertical="center" wrapText="1"/>
    </xf>
    <xf numFmtId="6" fontId="0" fillId="22" borderId="3" xfId="0" applyNumberFormat="1" applyFill="1" applyBorder="1" applyAlignment="1">
      <alignment horizontal="center" vertical="center" wrapText="1"/>
    </xf>
    <xf numFmtId="0" fontId="20" fillId="22" borderId="2" xfId="0" applyFont="1" applyFill="1" applyBorder="1" applyAlignment="1">
      <alignment horizontal="left" vertical="center" wrapText="1"/>
    </xf>
    <xf numFmtId="6" fontId="22" fillId="22" borderId="3" xfId="0" applyNumberFormat="1" applyFont="1" applyFill="1" applyBorder="1" applyAlignment="1">
      <alignment horizontal="center" vertical="center" wrapText="1"/>
    </xf>
    <xf numFmtId="0" fontId="20" fillId="23" borderId="13" xfId="0" applyFont="1" applyFill="1" applyBorder="1" applyAlignment="1">
      <alignment horizontal="left" vertical="center" wrapText="1"/>
    </xf>
    <xf numFmtId="0" fontId="20" fillId="23" borderId="2" xfId="0" applyFont="1" applyFill="1" applyBorder="1" applyAlignment="1">
      <alignment horizontal="center" vertical="center" wrapText="1"/>
    </xf>
    <xf numFmtId="0" fontId="20" fillId="23" borderId="14" xfId="0" applyFont="1" applyFill="1" applyBorder="1" applyAlignment="1">
      <alignment horizontal="center" vertical="center" wrapText="1"/>
    </xf>
    <xf numFmtId="44" fontId="0" fillId="0" borderId="3" xfId="1" applyFont="1" applyBorder="1" applyAlignment="1">
      <alignment horizontal="center" vertical="center" wrapText="1"/>
    </xf>
    <xf numFmtId="44" fontId="23" fillId="0" borderId="3" xfId="1" applyFont="1" applyBorder="1" applyAlignment="1">
      <alignment horizontal="center" vertical="center" wrapText="1"/>
    </xf>
    <xf numFmtId="44" fontId="23" fillId="0" borderId="1" xfId="1" applyFont="1" applyBorder="1" applyAlignment="1">
      <alignment horizontal="center" vertical="center" wrapText="1"/>
    </xf>
    <xf numFmtId="44" fontId="23" fillId="0" borderId="12" xfId="1" applyFont="1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 wrapText="1"/>
    </xf>
    <xf numFmtId="6" fontId="0" fillId="0" borderId="0" xfId="0" applyNumberFormat="1"/>
    <xf numFmtId="0" fontId="24" fillId="0" borderId="0" xfId="0" applyFont="1" applyAlignment="1">
      <alignment horizontal="right"/>
    </xf>
    <xf numFmtId="0" fontId="18" fillId="16" borderId="0" xfId="0" applyFont="1" applyFill="1"/>
    <xf numFmtId="44" fontId="0" fillId="0" borderId="0" xfId="0" applyNumberFormat="1"/>
    <xf numFmtId="0" fontId="0" fillId="13" borderId="0" xfId="0" applyFill="1"/>
    <xf numFmtId="6" fontId="0" fillId="13" borderId="0" xfId="0" applyNumberFormat="1" applyFill="1" applyAlignment="1">
      <alignment horizontal="center" vertical="center" wrapText="1"/>
    </xf>
    <xf numFmtId="0" fontId="22" fillId="24" borderId="3" xfId="0" applyFont="1" applyFill="1" applyBorder="1" applyAlignment="1">
      <alignment horizontal="left" vertical="center" wrapText="1"/>
    </xf>
    <xf numFmtId="6" fontId="22" fillId="24" borderId="3" xfId="0" applyNumberFormat="1" applyFont="1" applyFill="1" applyBorder="1" applyAlignment="1">
      <alignment horizontal="center" vertical="center" wrapText="1"/>
    </xf>
    <xf numFmtId="9" fontId="36" fillId="24" borderId="3" xfId="0" applyNumberFormat="1" applyFont="1" applyFill="1" applyBorder="1" applyAlignment="1">
      <alignment horizontal="center" vertical="center" wrapText="1"/>
    </xf>
    <xf numFmtId="4" fontId="0" fillId="8" borderId="3" xfId="0" applyNumberFormat="1" applyFill="1" applyBorder="1" applyAlignment="1">
      <alignment horizontal="center" vertical="center" wrapText="1"/>
    </xf>
    <xf numFmtId="44" fontId="30" fillId="19" borderId="0" xfId="1" applyFont="1" applyFill="1" applyAlignment="1" applyProtection="1"/>
    <xf numFmtId="0" fontId="0" fillId="3" borderId="0" xfId="0" applyFill="1"/>
    <xf numFmtId="0" fontId="31" fillId="19" borderId="0" xfId="0" applyFont="1" applyFill="1"/>
    <xf numFmtId="13" fontId="12" fillId="0" borderId="0" xfId="1" applyNumberFormat="1" applyFont="1" applyFill="1" applyAlignment="1" applyProtection="1">
      <alignment wrapText="1"/>
    </xf>
    <xf numFmtId="44" fontId="27" fillId="17" borderId="0" xfId="1" applyFont="1" applyFill="1" applyAlignment="1" applyProtection="1">
      <alignment horizontal="center" wrapText="1"/>
    </xf>
    <xf numFmtId="44" fontId="27" fillId="17" borderId="0" xfId="1" applyFont="1" applyFill="1" applyProtection="1"/>
    <xf numFmtId="44" fontId="24" fillId="20" borderId="0" xfId="1" applyFont="1" applyFill="1" applyProtection="1"/>
    <xf numFmtId="44" fontId="0" fillId="20" borderId="0" xfId="1" applyFont="1" applyFill="1" applyProtection="1"/>
    <xf numFmtId="44" fontId="27" fillId="20" borderId="0" xfId="1" applyFont="1" applyFill="1" applyAlignment="1" applyProtection="1">
      <alignment horizontal="center" wrapText="1"/>
    </xf>
    <xf numFmtId="44" fontId="27" fillId="20" borderId="0" xfId="1" applyFont="1" applyFill="1" applyProtection="1"/>
    <xf numFmtId="44" fontId="18" fillId="20" borderId="0" xfId="1" applyFont="1" applyFill="1" applyProtection="1"/>
    <xf numFmtId="44" fontId="24" fillId="20" borderId="0" xfId="1" applyFont="1" applyFill="1" applyAlignment="1" applyProtection="1">
      <alignment horizontal="right"/>
    </xf>
    <xf numFmtId="2" fontId="14" fillId="20" borderId="0" xfId="1" applyNumberFormat="1" applyFont="1" applyFill="1" applyAlignment="1" applyProtection="1">
      <alignment horizontal="center" wrapText="1"/>
    </xf>
    <xf numFmtId="2" fontId="28" fillId="20" borderId="0" xfId="1" applyNumberFormat="1" applyFont="1" applyFill="1" applyProtection="1"/>
    <xf numFmtId="2" fontId="29" fillId="20" borderId="0" xfId="1" applyNumberFormat="1" applyFont="1" applyFill="1" applyProtection="1"/>
    <xf numFmtId="44" fontId="28" fillId="20" borderId="0" xfId="1" applyFont="1" applyFill="1" applyAlignment="1" applyProtection="1">
      <alignment horizontal="right"/>
    </xf>
    <xf numFmtId="44" fontId="28" fillId="20" borderId="0" xfId="1" applyFont="1" applyFill="1" applyProtection="1"/>
    <xf numFmtId="2" fontId="38" fillId="15" borderId="0" xfId="1" applyNumberFormat="1" applyFont="1" applyFill="1" applyProtection="1">
      <protection locked="0"/>
    </xf>
    <xf numFmtId="3" fontId="38" fillId="15" borderId="0" xfId="1" applyNumberFormat="1" applyFont="1" applyFill="1" applyProtection="1">
      <protection locked="0"/>
    </xf>
    <xf numFmtId="2" fontId="38" fillId="0" borderId="0" xfId="1" applyNumberFormat="1" applyFont="1" applyProtection="1"/>
    <xf numFmtId="2" fontId="38" fillId="0" borderId="15" xfId="1" applyNumberFormat="1" applyFont="1" applyFill="1" applyBorder="1" applyAlignment="1" applyProtection="1">
      <alignment wrapText="1"/>
    </xf>
    <xf numFmtId="2" fontId="38" fillId="0" borderId="0" xfId="1" applyNumberFormat="1" applyFont="1" applyAlignment="1" applyProtection="1">
      <alignment horizontal="center" wrapText="1"/>
    </xf>
    <xf numFmtId="2" fontId="38" fillId="0" borderId="0" xfId="1" applyNumberFormat="1" applyFont="1" applyFill="1" applyBorder="1" applyAlignment="1" applyProtection="1">
      <alignment wrapText="1"/>
    </xf>
    <xf numFmtId="2" fontId="38" fillId="15" borderId="4" xfId="1" applyNumberFormat="1" applyFont="1" applyFill="1" applyBorder="1" applyProtection="1">
      <protection locked="0"/>
    </xf>
    <xf numFmtId="3" fontId="38" fillId="15" borderId="4" xfId="1" applyNumberFormat="1" applyFont="1" applyFill="1" applyBorder="1" applyProtection="1">
      <protection locked="0"/>
    </xf>
    <xf numFmtId="2" fontId="38" fillId="0" borderId="4" xfId="1" applyNumberFormat="1" applyFont="1" applyFill="1" applyBorder="1" applyAlignment="1" applyProtection="1">
      <alignment wrapText="1"/>
    </xf>
    <xf numFmtId="2" fontId="38" fillId="0" borderId="4" xfId="1" applyNumberFormat="1" applyFont="1" applyBorder="1" applyAlignment="1" applyProtection="1">
      <alignment horizontal="center" wrapText="1"/>
    </xf>
    <xf numFmtId="3" fontId="39" fillId="0" borderId="0" xfId="1" applyNumberFormat="1" applyFont="1" applyProtection="1"/>
    <xf numFmtId="44" fontId="38" fillId="0" borderId="0" xfId="1" applyFont="1" applyAlignment="1" applyProtection="1">
      <alignment horizontal="right"/>
    </xf>
    <xf numFmtId="44" fontId="38" fillId="0" borderId="0" xfId="1" applyFont="1" applyProtection="1"/>
    <xf numFmtId="44" fontId="38" fillId="14" borderId="0" xfId="1" applyFont="1" applyFill="1" applyProtection="1"/>
    <xf numFmtId="3" fontId="38" fillId="15" borderId="0" xfId="1" applyNumberFormat="1" applyFont="1" applyFill="1" applyAlignment="1" applyProtection="1">
      <alignment wrapText="1"/>
      <protection locked="0"/>
    </xf>
    <xf numFmtId="3" fontId="38" fillId="0" borderId="0" xfId="1" applyNumberFormat="1" applyFont="1" applyProtection="1"/>
    <xf numFmtId="44" fontId="38" fillId="0" borderId="4" xfId="1" applyFont="1" applyBorder="1" applyProtection="1"/>
    <xf numFmtId="44" fontId="38" fillId="0" borderId="0" xfId="1" applyFont="1" applyFill="1" applyProtection="1"/>
    <xf numFmtId="44" fontId="39" fillId="14" borderId="0" xfId="1" applyFont="1" applyFill="1" applyAlignment="1" applyProtection="1">
      <alignment horizontal="right"/>
    </xf>
    <xf numFmtId="44" fontId="0" fillId="0" borderId="0" xfId="1" applyFont="1" applyFill="1" applyAlignment="1" applyProtection="1">
      <alignment wrapText="1"/>
    </xf>
    <xf numFmtId="44" fontId="14" fillId="0" borderId="0" xfId="1" applyFont="1" applyFill="1" applyAlignment="1" applyProtection="1">
      <alignment horizontal="center" wrapText="1"/>
    </xf>
    <xf numFmtId="2" fontId="17" fillId="17" borderId="0" xfId="1" applyNumberFormat="1" applyFont="1" applyFill="1" applyProtection="1"/>
    <xf numFmtId="2" fontId="0" fillId="17" borderId="0" xfId="1" applyNumberFormat="1" applyFont="1" applyFill="1" applyProtection="1"/>
    <xf numFmtId="2" fontId="0" fillId="17" borderId="0" xfId="1" applyNumberFormat="1" applyFont="1" applyFill="1" applyAlignment="1" applyProtection="1">
      <alignment wrapText="1"/>
    </xf>
    <xf numFmtId="2" fontId="27" fillId="17" borderId="0" xfId="1" applyNumberFormat="1" applyFont="1" applyFill="1" applyAlignment="1" applyProtection="1">
      <alignment horizontal="right"/>
    </xf>
    <xf numFmtId="2" fontId="28" fillId="17" borderId="0" xfId="1" applyNumberFormat="1" applyFont="1" applyFill="1" applyProtection="1"/>
    <xf numFmtId="44" fontId="28" fillId="17" borderId="0" xfId="1" applyFont="1" applyFill="1" applyProtection="1"/>
    <xf numFmtId="44" fontId="28" fillId="17" borderId="0" xfId="1" applyFont="1" applyFill="1" applyAlignment="1" applyProtection="1">
      <alignment horizontal="right"/>
    </xf>
    <xf numFmtId="2" fontId="39" fillId="0" borderId="0" xfId="1" applyNumberFormat="1" applyFont="1" applyProtection="1"/>
    <xf numFmtId="2" fontId="32" fillId="14" borderId="0" xfId="1" applyNumberFormat="1" applyFont="1" applyFill="1" applyAlignment="1" applyProtection="1">
      <alignment horizontal="center"/>
    </xf>
    <xf numFmtId="2" fontId="14" fillId="17" borderId="0" xfId="1" applyNumberFormat="1" applyFont="1" applyFill="1" applyAlignment="1" applyProtection="1">
      <alignment horizontal="center" wrapText="1"/>
    </xf>
    <xf numFmtId="2" fontId="29" fillId="17" borderId="0" xfId="1" applyNumberFormat="1" applyFont="1" applyFill="1" applyProtection="1"/>
    <xf numFmtId="44" fontId="0" fillId="20" borderId="0" xfId="1" applyFont="1" applyFill="1" applyAlignment="1" applyProtection="1">
      <alignment wrapText="1"/>
    </xf>
    <xf numFmtId="44" fontId="14" fillId="20" borderId="0" xfId="1" applyFont="1" applyFill="1" applyAlignment="1" applyProtection="1">
      <alignment horizontal="center" wrapText="1"/>
    </xf>
    <xf numFmtId="3" fontId="38" fillId="15" borderId="0" xfId="1" applyNumberFormat="1" applyFont="1" applyFill="1" applyBorder="1" applyProtection="1">
      <protection locked="0"/>
    </xf>
    <xf numFmtId="2" fontId="38" fillId="15" borderId="0" xfId="1" applyNumberFormat="1" applyFont="1" applyFill="1" applyBorder="1" applyProtection="1">
      <protection locked="0"/>
    </xf>
    <xf numFmtId="2" fontId="18" fillId="0" borderId="0" xfId="1" applyNumberFormat="1" applyFont="1" applyFill="1" applyAlignment="1" applyProtection="1">
      <alignment horizontal="center"/>
    </xf>
    <xf numFmtId="3" fontId="12" fillId="0" borderId="0" xfId="1" applyNumberFormat="1" applyFont="1" applyFill="1" applyProtection="1"/>
    <xf numFmtId="44" fontId="0" fillId="0" borderId="0" xfId="1" applyFont="1" applyFill="1" applyAlignment="1" applyProtection="1">
      <alignment horizontal="right"/>
    </xf>
    <xf numFmtId="44" fontId="25" fillId="0" borderId="0" xfId="1" applyFont="1" applyFill="1" applyProtection="1"/>
    <xf numFmtId="2" fontId="14" fillId="0" borderId="0" xfId="1" applyNumberFormat="1" applyFont="1" applyFill="1" applyAlignment="1" applyProtection="1">
      <alignment horizontal="center" wrapText="1"/>
    </xf>
    <xf numFmtId="0" fontId="11" fillId="0" borderId="0" xfId="0" applyFont="1"/>
    <xf numFmtId="44" fontId="11" fillId="0" borderId="0" xfId="0" applyNumberFormat="1" applyFont="1"/>
    <xf numFmtId="0" fontId="40" fillId="0" borderId="0" xfId="0" applyFont="1"/>
    <xf numFmtId="0" fontId="40" fillId="0" borderId="0" xfId="0" applyFont="1" applyAlignment="1">
      <alignment horizontal="center"/>
    </xf>
    <xf numFmtId="0" fontId="11" fillId="25" borderId="0" xfId="0" applyFont="1" applyFill="1"/>
    <xf numFmtId="0" fontId="41" fillId="25" borderId="0" xfId="0" applyFont="1" applyFill="1"/>
    <xf numFmtId="0" fontId="41" fillId="0" borderId="0" xfId="0" applyFont="1"/>
    <xf numFmtId="0" fontId="42" fillId="25" borderId="0" xfId="0" applyFont="1" applyFill="1"/>
    <xf numFmtId="0" fontId="43" fillId="0" borderId="0" xfId="0" applyFont="1" applyAlignment="1">
      <alignment horizontal="center"/>
    </xf>
    <xf numFmtId="0" fontId="42" fillId="0" borderId="0" xfId="0" applyFont="1"/>
    <xf numFmtId="3" fontId="17" fillId="15" borderId="0" xfId="1" applyNumberFormat="1" applyFont="1" applyFill="1" applyAlignment="1" applyProtection="1">
      <alignment wrapText="1"/>
    </xf>
    <xf numFmtId="3" fontId="0" fillId="15" borderId="0" xfId="1" applyNumberFormat="1" applyFont="1" applyFill="1" applyProtection="1"/>
    <xf numFmtId="0" fontId="38" fillId="0" borderId="4" xfId="0" applyFont="1" applyBorder="1" applyAlignment="1">
      <alignment horizontal="right"/>
    </xf>
    <xf numFmtId="0" fontId="38" fillId="0" borderId="0" xfId="0" applyFont="1" applyAlignment="1">
      <alignment horizontal="right"/>
    </xf>
    <xf numFmtId="2" fontId="38" fillId="0" borderId="0" xfId="0" applyNumberFormat="1" applyFont="1" applyAlignment="1">
      <alignment horizontal="left"/>
    </xf>
    <xf numFmtId="0" fontId="28" fillId="17" borderId="0" xfId="0" applyFont="1" applyFill="1" applyAlignment="1">
      <alignment horizontal="right"/>
    </xf>
    <xf numFmtId="0" fontId="28" fillId="20" borderId="0" xfId="0" applyFont="1" applyFill="1" applyAlignment="1">
      <alignment horizontal="right"/>
    </xf>
    <xf numFmtId="0" fontId="38" fillId="15" borderId="0" xfId="0" applyFont="1" applyFill="1" applyAlignment="1">
      <alignment horizontal="right"/>
    </xf>
    <xf numFmtId="44" fontId="24" fillId="15" borderId="0" xfId="1" applyFont="1" applyFill="1" applyProtection="1"/>
    <xf numFmtId="44" fontId="38" fillId="15" borderId="0" xfId="1" applyFont="1" applyFill="1" applyProtection="1"/>
    <xf numFmtId="2" fontId="18" fillId="17" borderId="0" xfId="0" applyNumberFormat="1" applyFont="1" applyFill="1"/>
    <xf numFmtId="0" fontId="18" fillId="20" borderId="0" xfId="0" applyFont="1" applyFill="1"/>
    <xf numFmtId="0" fontId="34" fillId="0" borderId="0" xfId="0" applyFont="1"/>
    <xf numFmtId="3" fontId="17" fillId="15" borderId="0" xfId="1" applyNumberFormat="1" applyFont="1" applyFill="1" applyBorder="1" applyProtection="1"/>
    <xf numFmtId="2" fontId="0" fillId="15" borderId="0" xfId="1" applyNumberFormat="1" applyFont="1" applyFill="1" applyBorder="1" applyProtection="1"/>
    <xf numFmtId="44" fontId="38" fillId="0" borderId="4" xfId="1" applyFont="1" applyFill="1" applyBorder="1" applyProtection="1"/>
    <xf numFmtId="44" fontId="12" fillId="26" borderId="4" xfId="1" applyFont="1" applyFill="1" applyBorder="1" applyAlignment="1" applyProtection="1">
      <alignment wrapText="1"/>
    </xf>
    <xf numFmtId="164" fontId="0" fillId="0" borderId="0" xfId="1" applyNumberFormat="1" applyFont="1" applyFill="1" applyProtection="1"/>
    <xf numFmtId="3" fontId="17" fillId="15" borderId="15" xfId="1" applyNumberFormat="1" applyFont="1" applyFill="1" applyBorder="1" applyProtection="1"/>
    <xf numFmtId="2" fontId="0" fillId="15" borderId="15" xfId="1" applyNumberFormat="1" applyFont="1" applyFill="1" applyBorder="1" applyProtection="1"/>
    <xf numFmtId="0" fontId="0" fillId="15" borderId="0" xfId="0" applyFill="1" applyAlignment="1">
      <alignment horizontal="right"/>
    </xf>
    <xf numFmtId="0" fontId="34" fillId="14" borderId="0" xfId="0" applyFont="1" applyFill="1"/>
    <xf numFmtId="0" fontId="34" fillId="17" borderId="0" xfId="0" applyFont="1" applyFill="1"/>
    <xf numFmtId="44" fontId="24" fillId="17" borderId="0" xfId="1" applyFont="1" applyFill="1" applyAlignment="1" applyProtection="1">
      <alignment wrapText="1"/>
    </xf>
    <xf numFmtId="44" fontId="35" fillId="17" borderId="0" xfId="1" applyFont="1" applyFill="1" applyAlignment="1" applyProtection="1">
      <alignment horizontal="center" wrapText="1"/>
    </xf>
    <xf numFmtId="3" fontId="24" fillId="17" borderId="0" xfId="1" applyNumberFormat="1" applyFont="1" applyFill="1" applyProtection="1"/>
    <xf numFmtId="44" fontId="34" fillId="17" borderId="0" xfId="1" applyFont="1" applyFill="1" applyProtection="1"/>
    <xf numFmtId="0" fontId="34" fillId="20" borderId="0" xfId="0" applyFont="1" applyFill="1"/>
    <xf numFmtId="44" fontId="24" fillId="20" borderId="0" xfId="1" applyFont="1" applyFill="1" applyAlignment="1" applyProtection="1">
      <alignment wrapText="1"/>
    </xf>
    <xf numFmtId="44" fontId="35" fillId="20" borderId="0" xfId="1" applyFont="1" applyFill="1" applyAlignment="1" applyProtection="1">
      <alignment horizontal="center" wrapText="1"/>
    </xf>
    <xf numFmtId="3" fontId="24" fillId="20" borderId="0" xfId="1" applyNumberFormat="1" applyFont="1" applyFill="1" applyProtection="1"/>
    <xf numFmtId="44" fontId="34" fillId="20" borderId="0" xfId="1" applyFont="1" applyFill="1" applyProtection="1"/>
    <xf numFmtId="2" fontId="0" fillId="15" borderId="15" xfId="1" applyNumberFormat="1" applyFont="1" applyFill="1" applyBorder="1" applyAlignment="1" applyProtection="1">
      <alignment wrapText="1"/>
      <protection locked="0"/>
    </xf>
    <xf numFmtId="2" fontId="0" fillId="15" borderId="0" xfId="1" applyNumberFormat="1" applyFont="1" applyFill="1" applyBorder="1" applyAlignment="1" applyProtection="1">
      <alignment wrapText="1"/>
      <protection locked="0"/>
    </xf>
    <xf numFmtId="2" fontId="0" fillId="15" borderId="4" xfId="1" applyNumberFormat="1" applyFont="1" applyFill="1" applyBorder="1" applyAlignment="1" applyProtection="1">
      <alignment wrapText="1"/>
      <protection locked="0"/>
    </xf>
    <xf numFmtId="0" fontId="11" fillId="15" borderId="0" xfId="0" applyFont="1" applyFill="1"/>
    <xf numFmtId="0" fontId="40" fillId="15" borderId="0" xfId="0" applyFont="1" applyFill="1"/>
    <xf numFmtId="6" fontId="11" fillId="0" borderId="0" xfId="0" applyNumberFormat="1" applyFont="1"/>
    <xf numFmtId="0" fontId="44" fillId="0" borderId="0" xfId="0" applyFont="1"/>
    <xf numFmtId="6" fontId="44" fillId="0" borderId="0" xfId="0" applyNumberFormat="1" applyFont="1"/>
    <xf numFmtId="0" fontId="37" fillId="16" borderId="0" xfId="0" applyFont="1" applyFill="1"/>
    <xf numFmtId="6" fontId="37" fillId="16" borderId="0" xfId="0" applyNumberFormat="1" applyFont="1" applyFill="1"/>
    <xf numFmtId="6" fontId="11" fillId="15" borderId="0" xfId="0" applyNumberFormat="1" applyFont="1" applyFill="1"/>
    <xf numFmtId="0" fontId="45" fillId="0" borderId="0" xfId="0" applyFont="1"/>
    <xf numFmtId="6" fontId="45" fillId="0" borderId="0" xfId="0" applyNumberFormat="1" applyFont="1"/>
    <xf numFmtId="2" fontId="38" fillId="15" borderId="0" xfId="1" applyNumberFormat="1" applyFont="1" applyFill="1" applyProtection="1"/>
    <xf numFmtId="3" fontId="38" fillId="15" borderId="15" xfId="1" applyNumberFormat="1" applyFont="1" applyFill="1" applyBorder="1" applyProtection="1"/>
    <xf numFmtId="3" fontId="38" fillId="15" borderId="0" xfId="1" applyNumberFormat="1" applyFont="1" applyFill="1" applyBorder="1" applyProtection="1"/>
    <xf numFmtId="2" fontId="38" fillId="15" borderId="4" xfId="1" applyNumberFormat="1" applyFont="1" applyFill="1" applyBorder="1" applyProtection="1"/>
    <xf numFmtId="3" fontId="38" fillId="15" borderId="4" xfId="1" applyNumberFormat="1" applyFont="1" applyFill="1" applyBorder="1" applyProtection="1"/>
    <xf numFmtId="2" fontId="38" fillId="15" borderId="15" xfId="1" applyNumberFormat="1" applyFont="1" applyFill="1" applyBorder="1" applyProtection="1"/>
    <xf numFmtId="2" fontId="38" fillId="15" borderId="0" xfId="1" applyNumberFormat="1" applyFont="1" applyFill="1" applyBorder="1" applyProtection="1"/>
    <xf numFmtId="3" fontId="38" fillId="15" borderId="0" xfId="1" applyNumberFormat="1" applyFont="1" applyFill="1" applyAlignment="1" applyProtection="1">
      <alignment wrapText="1"/>
    </xf>
    <xf numFmtId="3" fontId="38" fillId="15" borderId="0" xfId="1" applyNumberFormat="1" applyFont="1" applyFill="1" applyProtection="1"/>
    <xf numFmtId="2" fontId="38" fillId="15" borderId="15" xfId="1" applyNumberFormat="1" applyFont="1" applyFill="1" applyBorder="1" applyAlignment="1" applyProtection="1">
      <alignment wrapText="1"/>
    </xf>
    <xf numFmtId="2" fontId="38" fillId="15" borderId="0" xfId="1" applyNumberFormat="1" applyFont="1" applyFill="1" applyBorder="1" applyAlignment="1" applyProtection="1">
      <alignment wrapText="1"/>
    </xf>
    <xf numFmtId="2" fontId="38" fillId="15" borderId="4" xfId="1" applyNumberFormat="1" applyFont="1" applyFill="1" applyBorder="1" applyAlignment="1" applyProtection="1">
      <alignment wrapText="1"/>
    </xf>
    <xf numFmtId="44" fontId="39" fillId="0" borderId="0" xfId="1" applyFont="1" applyFill="1" applyAlignment="1" applyProtection="1">
      <alignment wrapText="1"/>
    </xf>
    <xf numFmtId="44" fontId="12" fillId="0" borderId="0" xfId="1" applyFont="1" applyFill="1" applyAlignment="1" applyProtection="1"/>
    <xf numFmtId="0" fontId="46" fillId="15" borderId="0" xfId="0" applyFont="1" applyFill="1"/>
    <xf numFmtId="2" fontId="33" fillId="0" borderId="0" xfId="1" applyNumberFormat="1" applyFont="1" applyFill="1" applyProtection="1"/>
    <xf numFmtId="0" fontId="8" fillId="0" borderId="0" xfId="0" applyFont="1"/>
    <xf numFmtId="6" fontId="11" fillId="0" borderId="0" xfId="0" applyNumberFormat="1" applyFont="1" applyAlignment="1">
      <alignment horizontal="right"/>
    </xf>
    <xf numFmtId="0" fontId="7" fillId="0" borderId="0" xfId="0" applyFont="1"/>
    <xf numFmtId="6" fontId="44" fillId="19" borderId="0" xfId="0" applyNumberFormat="1" applyFont="1" applyFill="1"/>
    <xf numFmtId="44" fontId="12" fillId="19" borderId="0" xfId="1" applyFont="1" applyFill="1" applyAlignment="1" applyProtection="1">
      <alignment horizontal="right"/>
    </xf>
    <xf numFmtId="0" fontId="0" fillId="14" borderId="0" xfId="0" applyFill="1"/>
    <xf numFmtId="44" fontId="12" fillId="19" borderId="0" xfId="1" applyFont="1" applyFill="1" applyProtection="1"/>
    <xf numFmtId="44" fontId="25" fillId="15" borderId="0" xfId="1" applyFont="1" applyFill="1" applyProtection="1"/>
    <xf numFmtId="44" fontId="12" fillId="15" borderId="0" xfId="1" applyFont="1" applyFill="1" applyAlignment="1" applyProtection="1">
      <alignment wrapText="1"/>
    </xf>
    <xf numFmtId="44" fontId="42" fillId="0" borderId="0" xfId="0" applyNumberFormat="1" applyFont="1"/>
    <xf numFmtId="0" fontId="10" fillId="0" borderId="0" xfId="0" applyFont="1"/>
    <xf numFmtId="44" fontId="9" fillId="0" borderId="0" xfId="0" applyNumberFormat="1" applyFont="1"/>
    <xf numFmtId="0" fontId="6" fillId="0" borderId="0" xfId="0" applyFont="1"/>
    <xf numFmtId="0" fontId="8" fillId="0" borderId="0" xfId="0" applyFont="1" applyAlignment="1">
      <alignment horizontal="left"/>
    </xf>
    <xf numFmtId="0" fontId="5" fillId="0" borderId="0" xfId="0" applyFont="1"/>
    <xf numFmtId="44" fontId="5" fillId="0" borderId="0" xfId="0" applyNumberFormat="1" applyFont="1"/>
    <xf numFmtId="0" fontId="0" fillId="17" borderId="0" xfId="0" applyFill="1"/>
    <xf numFmtId="0" fontId="0" fillId="17" borderId="0" xfId="0" applyFill="1" applyAlignment="1">
      <alignment wrapText="1"/>
    </xf>
    <xf numFmtId="0" fontId="0" fillId="17" borderId="0" xfId="0" applyFill="1" applyAlignment="1">
      <alignment horizontal="center"/>
    </xf>
    <xf numFmtId="2" fontId="0" fillId="17" borderId="0" xfId="0" applyNumberFormat="1" applyFill="1"/>
    <xf numFmtId="3" fontId="0" fillId="17" borderId="0" xfId="0" applyNumberFormat="1" applyFill="1"/>
    <xf numFmtId="0" fontId="47" fillId="0" borderId="0" xfId="0" applyFont="1"/>
    <xf numFmtId="6" fontId="0" fillId="0" borderId="3" xfId="1" applyNumberFormat="1" applyFont="1" applyFill="1" applyBorder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44" fontId="28" fillId="0" borderId="0" xfId="1" applyFont="1" applyFill="1" applyAlignment="1" applyProtection="1">
      <alignment wrapText="1"/>
    </xf>
    <xf numFmtId="44" fontId="27" fillId="0" borderId="0" xfId="1" applyFont="1" applyFill="1" applyAlignment="1" applyProtection="1">
      <alignment horizontal="center" wrapText="1"/>
    </xf>
    <xf numFmtId="0" fontId="28" fillId="0" borderId="0" xfId="0" applyFont="1" applyAlignment="1">
      <alignment horizontal="right"/>
    </xf>
    <xf numFmtId="44" fontId="12" fillId="0" borderId="0" xfId="1" applyFont="1" applyFill="1" applyAlignment="1" applyProtection="1">
      <alignment horizontal="center" wrapText="1"/>
    </xf>
    <xf numFmtId="44" fontId="17" fillId="0" borderId="0" xfId="1" applyFont="1" applyFill="1" applyProtection="1"/>
    <xf numFmtId="44" fontId="12" fillId="14" borderId="0" xfId="1" applyFont="1" applyFill="1" applyAlignment="1" applyProtection="1">
      <alignment horizontal="center" wrapText="1"/>
    </xf>
    <xf numFmtId="44" fontId="17" fillId="0" borderId="0" xfId="1" applyFont="1" applyFill="1" applyAlignment="1" applyProtection="1">
      <alignment wrapText="1"/>
    </xf>
    <xf numFmtId="0" fontId="17" fillId="0" borderId="0" xfId="0" applyFont="1" applyAlignment="1">
      <alignment horizontal="right"/>
    </xf>
    <xf numFmtId="44" fontId="24" fillId="0" borderId="0" xfId="1" applyFont="1" applyAlignment="1" applyProtection="1">
      <alignment horizontal="right"/>
    </xf>
    <xf numFmtId="44" fontId="24" fillId="0" borderId="4" xfId="1" applyFont="1" applyBorder="1" applyAlignment="1" applyProtection="1">
      <alignment horizontal="right"/>
    </xf>
    <xf numFmtId="44" fontId="27" fillId="0" borderId="0" xfId="1" applyFont="1" applyFill="1" applyProtection="1"/>
    <xf numFmtId="0" fontId="0" fillId="0" borderId="0" xfId="0" applyAlignment="1">
      <alignment horizontal="right" wrapText="1"/>
    </xf>
    <xf numFmtId="44" fontId="12" fillId="14" borderId="0" xfId="1" applyFont="1" applyFill="1" applyAlignment="1" applyProtection="1">
      <alignment horizontal="right" wrapText="1"/>
    </xf>
    <xf numFmtId="44" fontId="27" fillId="0" borderId="0" xfId="1" applyFont="1" applyFill="1" applyAlignment="1" applyProtection="1">
      <alignment horizontal="right" wrapText="1"/>
    </xf>
    <xf numFmtId="44" fontId="0" fillId="17" borderId="0" xfId="1" applyFont="1" applyFill="1" applyAlignment="1" applyProtection="1">
      <alignment horizontal="right"/>
    </xf>
    <xf numFmtId="44" fontId="35" fillId="17" borderId="0" xfId="1" applyFont="1" applyFill="1" applyAlignment="1" applyProtection="1">
      <alignment horizontal="right" wrapText="1"/>
    </xf>
    <xf numFmtId="44" fontId="35" fillId="20" borderId="0" xfId="1" applyFont="1" applyFill="1" applyAlignment="1" applyProtection="1">
      <alignment horizontal="right" wrapText="1"/>
    </xf>
    <xf numFmtId="44" fontId="14" fillId="0" borderId="0" xfId="1" applyFont="1" applyAlignment="1" applyProtection="1">
      <alignment horizontal="right" wrapText="1"/>
    </xf>
    <xf numFmtId="44" fontId="12" fillId="20" borderId="4" xfId="1" applyFont="1" applyFill="1" applyBorder="1" applyAlignment="1" applyProtection="1">
      <alignment horizontal="right" wrapText="1"/>
    </xf>
    <xf numFmtId="2" fontId="17" fillId="0" borderId="0" xfId="1" applyNumberFormat="1" applyFont="1" applyAlignment="1" applyProtection="1">
      <alignment horizontal="right" wrapText="1"/>
    </xf>
    <xf numFmtId="2" fontId="17" fillId="0" borderId="4" xfId="1" applyNumberFormat="1" applyFont="1" applyBorder="1" applyAlignment="1" applyProtection="1">
      <alignment horizontal="right" wrapText="1"/>
    </xf>
    <xf numFmtId="2" fontId="20" fillId="21" borderId="0" xfId="1" applyNumberFormat="1" applyFont="1" applyFill="1" applyAlignment="1" applyProtection="1">
      <alignment horizontal="right" wrapText="1"/>
    </xf>
    <xf numFmtId="2" fontId="12" fillId="0" borderId="0" xfId="1" applyNumberFormat="1" applyFont="1" applyAlignment="1" applyProtection="1">
      <alignment horizontal="right"/>
    </xf>
    <xf numFmtId="2" fontId="28" fillId="0" borderId="0" xfId="1" applyNumberFormat="1" applyFont="1" applyAlignment="1" applyProtection="1">
      <alignment horizontal="right"/>
    </xf>
    <xf numFmtId="44" fontId="12" fillId="0" borderId="0" xfId="1" applyFont="1" applyBorder="1" applyAlignment="1" applyProtection="1">
      <alignment horizontal="right" wrapText="1"/>
    </xf>
    <xf numFmtId="44" fontId="12" fillId="0" borderId="4" xfId="1" applyFont="1" applyBorder="1" applyAlignment="1" applyProtection="1">
      <alignment horizontal="right" wrapText="1"/>
    </xf>
    <xf numFmtId="2" fontId="0" fillId="0" borderId="15" xfId="1" applyNumberFormat="1" applyFont="1" applyFill="1" applyBorder="1" applyAlignment="1" applyProtection="1">
      <alignment horizontal="right" wrapText="1"/>
    </xf>
    <xf numFmtId="2" fontId="0" fillId="0" borderId="0" xfId="1" applyNumberFormat="1" applyFont="1" applyAlignment="1" applyProtection="1">
      <alignment horizontal="right"/>
    </xf>
    <xf numFmtId="2" fontId="0" fillId="0" borderId="0" xfId="1" applyNumberFormat="1" applyFont="1" applyFill="1" applyBorder="1" applyAlignment="1" applyProtection="1">
      <alignment horizontal="right" wrapText="1"/>
    </xf>
    <xf numFmtId="2" fontId="17" fillId="0" borderId="0" xfId="1" applyNumberFormat="1" applyFont="1" applyBorder="1" applyAlignment="1" applyProtection="1">
      <alignment horizontal="right" wrapText="1"/>
    </xf>
    <xf numFmtId="2" fontId="0" fillId="0" borderId="4" xfId="1" applyNumberFormat="1" applyFont="1" applyFill="1" applyBorder="1" applyAlignment="1" applyProtection="1">
      <alignment horizontal="right" wrapText="1"/>
    </xf>
    <xf numFmtId="2" fontId="12" fillId="0" borderId="0" xfId="1" applyNumberFormat="1" applyFont="1" applyFill="1" applyAlignment="1" applyProtection="1">
      <alignment horizontal="right" wrapText="1"/>
    </xf>
    <xf numFmtId="2" fontId="14" fillId="0" borderId="0" xfId="1" applyNumberFormat="1" applyFont="1" applyAlignment="1" applyProtection="1">
      <alignment horizontal="right" wrapText="1"/>
    </xf>
    <xf numFmtId="2" fontId="14" fillId="18" borderId="0" xfId="1" applyNumberFormat="1" applyFont="1" applyFill="1" applyAlignment="1" applyProtection="1">
      <alignment horizontal="right" wrapText="1"/>
    </xf>
    <xf numFmtId="2" fontId="0" fillId="18" borderId="0" xfId="1" applyNumberFormat="1" applyFont="1" applyFill="1" applyAlignment="1" applyProtection="1">
      <alignment horizontal="right"/>
    </xf>
    <xf numFmtId="2" fontId="14" fillId="3" borderId="0" xfId="1" applyNumberFormat="1" applyFont="1" applyFill="1" applyAlignment="1" applyProtection="1">
      <alignment horizontal="right" wrapText="1"/>
    </xf>
    <xf numFmtId="2" fontId="0" fillId="3" borderId="0" xfId="1" applyNumberFormat="1" applyFont="1" applyFill="1" applyAlignment="1" applyProtection="1">
      <alignment horizontal="right"/>
    </xf>
    <xf numFmtId="44" fontId="48" fillId="0" borderId="0" xfId="1" applyFont="1" applyAlignment="1" applyProtection="1">
      <alignment horizontal="center"/>
    </xf>
    <xf numFmtId="3" fontId="0" fillId="15" borderId="4" xfId="1" applyNumberFormat="1" applyFont="1" applyFill="1" applyBorder="1" applyProtection="1"/>
    <xf numFmtId="3" fontId="0" fillId="0" borderId="4" xfId="1" applyNumberFormat="1" applyFont="1" applyFill="1" applyBorder="1" applyProtection="1"/>
    <xf numFmtId="2" fontId="49" fillId="0" borderId="0" xfId="1" applyNumberFormat="1" applyFont="1" applyProtection="1"/>
    <xf numFmtId="44" fontId="49" fillId="0" borderId="0" xfId="1" applyFont="1" applyFill="1" applyAlignment="1" applyProtection="1">
      <alignment horizontal="right"/>
    </xf>
    <xf numFmtId="3" fontId="0" fillId="0" borderId="0" xfId="1" applyNumberFormat="1" applyFont="1" applyFill="1" applyAlignment="1" applyProtection="1">
      <alignment horizontal="right"/>
    </xf>
    <xf numFmtId="44" fontId="12" fillId="0" borderId="0" xfId="0" applyNumberFormat="1" applyFont="1"/>
    <xf numFmtId="8" fontId="12" fillId="0" borderId="0" xfId="1" applyNumberFormat="1" applyFont="1" applyFill="1" applyProtection="1"/>
    <xf numFmtId="44" fontId="12" fillId="0" borderId="0" xfId="1" applyFont="1" applyFill="1" applyAlignment="1" applyProtection="1">
      <alignment horizontal="right" wrapText="1"/>
    </xf>
    <xf numFmtId="2" fontId="49" fillId="0" borderId="0" xfId="1" applyNumberFormat="1" applyFont="1" applyAlignment="1" applyProtection="1">
      <alignment horizontal="right"/>
    </xf>
    <xf numFmtId="3" fontId="0" fillId="0" borderId="0" xfId="1" applyNumberFormat="1" applyFont="1" applyBorder="1" applyProtection="1"/>
    <xf numFmtId="2" fontId="18" fillId="14" borderId="0" xfId="1" applyNumberFormat="1" applyFont="1" applyFill="1" applyBorder="1" applyAlignment="1" applyProtection="1">
      <alignment horizontal="center"/>
    </xf>
    <xf numFmtId="3" fontId="12" fillId="0" borderId="0" xfId="1" applyNumberFormat="1" applyFont="1" applyBorder="1" applyProtection="1"/>
    <xf numFmtId="44" fontId="0" fillId="0" borderId="0" xfId="1" applyFont="1" applyBorder="1" applyAlignment="1" applyProtection="1">
      <alignment horizontal="right"/>
    </xf>
    <xf numFmtId="44" fontId="0" fillId="14" borderId="0" xfId="1" applyFont="1" applyFill="1" applyBorder="1" applyProtection="1"/>
    <xf numFmtId="44" fontId="25" fillId="0" borderId="0" xfId="1" applyFont="1" applyBorder="1" applyProtection="1"/>
    <xf numFmtId="2" fontId="50" fillId="0" borderId="0" xfId="1" applyNumberFormat="1" applyFont="1" applyAlignment="1" applyProtection="1">
      <alignment horizontal="right"/>
    </xf>
    <xf numFmtId="2" fontId="51" fillId="0" borderId="0" xfId="1" applyNumberFormat="1" applyFont="1" applyAlignment="1" applyProtection="1">
      <alignment horizontal="right"/>
    </xf>
    <xf numFmtId="2" fontId="18" fillId="0" borderId="0" xfId="1" applyNumberFormat="1" applyFont="1" applyFill="1" applyAlignment="1" applyProtection="1">
      <alignment horizontal="right"/>
    </xf>
    <xf numFmtId="44" fontId="34" fillId="17" borderId="0" xfId="1" applyFont="1" applyFill="1" applyAlignment="1" applyProtection="1">
      <alignment horizontal="right"/>
    </xf>
    <xf numFmtId="44" fontId="34" fillId="20" borderId="0" xfId="1" applyFont="1" applyFill="1" applyAlignment="1" applyProtection="1">
      <alignment horizontal="right"/>
    </xf>
    <xf numFmtId="44" fontId="18" fillId="0" borderId="0" xfId="1" applyFont="1" applyFill="1" applyAlignment="1" applyProtection="1">
      <alignment horizontal="right"/>
    </xf>
    <xf numFmtId="2" fontId="28" fillId="0" borderId="0" xfId="1" applyNumberFormat="1" applyFont="1" applyFill="1" applyAlignment="1" applyProtection="1">
      <alignment horizontal="right"/>
    </xf>
    <xf numFmtId="44" fontId="48" fillId="0" borderId="0" xfId="1" applyFont="1" applyAlignment="1" applyProtection="1">
      <alignment horizontal="right"/>
    </xf>
    <xf numFmtId="44" fontId="24" fillId="0" borderId="0" xfId="1" applyFont="1" applyBorder="1" applyAlignment="1" applyProtection="1">
      <alignment horizontal="right"/>
    </xf>
    <xf numFmtId="2" fontId="29" fillId="3" borderId="0" xfId="1" applyNumberFormat="1" applyFont="1" applyFill="1" applyAlignment="1" applyProtection="1">
      <alignment horizontal="right"/>
    </xf>
    <xf numFmtId="3" fontId="0" fillId="0" borderId="0" xfId="1" applyNumberFormat="1" applyFont="1" applyAlignment="1" applyProtection="1">
      <alignment horizontal="right"/>
    </xf>
    <xf numFmtId="2" fontId="0" fillId="0" borderId="0" xfId="1" applyNumberFormat="1" applyFont="1" applyFill="1" applyBorder="1" applyAlignment="1" applyProtection="1">
      <alignment horizontal="right"/>
    </xf>
    <xf numFmtId="2" fontId="28" fillId="3" borderId="0" xfId="1" applyNumberFormat="1" applyFont="1" applyFill="1" applyAlignment="1" applyProtection="1">
      <alignment horizontal="right"/>
    </xf>
    <xf numFmtId="0" fontId="12" fillId="0" borderId="0" xfId="0" applyFont="1" applyAlignment="1">
      <alignment horizontal="right"/>
    </xf>
    <xf numFmtId="44" fontId="0" fillId="0" borderId="0" xfId="1" applyFont="1" applyAlignment="1">
      <alignment horizontal="right"/>
    </xf>
    <xf numFmtId="0" fontId="0" fillId="14" borderId="0" xfId="0" applyFill="1" applyAlignment="1">
      <alignment wrapText="1"/>
    </xf>
    <xf numFmtId="0" fontId="0" fillId="14" borderId="0" xfId="0" applyFill="1" applyAlignment="1">
      <alignment horizontal="right"/>
    </xf>
    <xf numFmtId="44" fontId="0" fillId="14" borderId="0" xfId="1" applyFont="1" applyFill="1" applyAlignment="1">
      <alignment horizontal="right"/>
    </xf>
    <xf numFmtId="2" fontId="12" fillId="0" borderId="0" xfId="0" applyNumberFormat="1" applyFont="1"/>
    <xf numFmtId="3" fontId="12" fillId="0" borderId="0" xfId="0" applyNumberFormat="1" applyFont="1"/>
    <xf numFmtId="44" fontId="0" fillId="14" borderId="0" xfId="0" applyNumberFormat="1" applyFill="1"/>
    <xf numFmtId="2" fontId="0" fillId="0" borderId="0" xfId="0" applyNumberFormat="1" applyAlignment="1">
      <alignment horizontal="right"/>
    </xf>
    <xf numFmtId="44" fontId="24" fillId="0" borderId="0" xfId="1" applyFont="1" applyAlignment="1" applyProtection="1">
      <alignment horizontal="left"/>
    </xf>
    <xf numFmtId="44" fontId="24" fillId="0" borderId="0" xfId="1" applyFont="1" applyBorder="1" applyAlignment="1" applyProtection="1">
      <alignment horizontal="left"/>
    </xf>
    <xf numFmtId="44" fontId="53" fillId="0" borderId="0" xfId="1" applyFont="1" applyFill="1" applyProtection="1"/>
    <xf numFmtId="44" fontId="53" fillId="0" borderId="0" xfId="1" applyFont="1" applyFill="1" applyAlignment="1" applyProtection="1">
      <alignment wrapText="1"/>
    </xf>
    <xf numFmtId="44" fontId="54" fillId="0" borderId="0" xfId="1" applyFont="1" applyFill="1" applyAlignment="1" applyProtection="1">
      <alignment horizontal="center" wrapText="1"/>
    </xf>
    <xf numFmtId="0" fontId="53" fillId="0" borderId="0" xfId="0" applyFont="1" applyAlignment="1">
      <alignment horizontal="right"/>
    </xf>
    <xf numFmtId="44" fontId="54" fillId="14" borderId="0" xfId="1" applyFont="1" applyFill="1" applyAlignment="1" applyProtection="1">
      <alignment horizontal="center" wrapText="1"/>
    </xf>
    <xf numFmtId="44" fontId="54" fillId="14" borderId="0" xfId="1" applyFont="1" applyFill="1" applyProtection="1"/>
    <xf numFmtId="44" fontId="55" fillId="14" borderId="0" xfId="1" applyFont="1" applyFill="1" applyAlignment="1" applyProtection="1">
      <alignment horizontal="center"/>
    </xf>
    <xf numFmtId="44" fontId="12" fillId="0" borderId="0" xfId="1" applyFont="1" applyFill="1" applyProtection="1"/>
    <xf numFmtId="8" fontId="0" fillId="0" borderId="0" xfId="1" applyNumberFormat="1" applyFont="1" applyFill="1" applyProtection="1"/>
    <xf numFmtId="0" fontId="39" fillId="20" borderId="4" xfId="0" applyFont="1" applyFill="1" applyBorder="1" applyAlignment="1">
      <alignment wrapText="1"/>
    </xf>
    <xf numFmtId="2" fontId="38" fillId="15" borderId="15" xfId="1" applyNumberFormat="1" applyFont="1" applyFill="1" applyBorder="1" applyAlignment="1" applyProtection="1">
      <alignment horizontal="right" wrapText="1"/>
      <protection locked="0"/>
    </xf>
    <xf numFmtId="2" fontId="38" fillId="0" borderId="0" xfId="1" applyNumberFormat="1" applyFont="1" applyAlignment="1" applyProtection="1">
      <alignment horizontal="right" wrapText="1"/>
    </xf>
    <xf numFmtId="2" fontId="38" fillId="15" borderId="0" xfId="1" applyNumberFormat="1" applyFont="1" applyFill="1" applyBorder="1" applyAlignment="1" applyProtection="1">
      <alignment horizontal="right" wrapText="1"/>
      <protection locked="0"/>
    </xf>
    <xf numFmtId="2" fontId="38" fillId="15" borderId="4" xfId="1" applyNumberFormat="1" applyFont="1" applyFill="1" applyBorder="1" applyAlignment="1" applyProtection="1">
      <alignment horizontal="right" wrapText="1"/>
      <protection locked="0"/>
    </xf>
    <xf numFmtId="2" fontId="38" fillId="0" borderId="4" xfId="1" applyNumberFormat="1" applyFont="1" applyBorder="1" applyAlignment="1" applyProtection="1">
      <alignment horizontal="right" wrapText="1"/>
    </xf>
    <xf numFmtId="2" fontId="39" fillId="0" borderId="0" xfId="1" applyNumberFormat="1" applyFont="1" applyAlignment="1" applyProtection="1">
      <alignment horizontal="right"/>
    </xf>
    <xf numFmtId="44" fontId="56" fillId="20" borderId="4" xfId="1" applyFont="1" applyFill="1" applyBorder="1" applyAlignment="1" applyProtection="1">
      <alignment wrapText="1"/>
    </xf>
    <xf numFmtId="3" fontId="56" fillId="20" borderId="4" xfId="1" applyNumberFormat="1" applyFont="1" applyFill="1" applyBorder="1" applyAlignment="1" applyProtection="1">
      <alignment wrapText="1"/>
    </xf>
    <xf numFmtId="44" fontId="56" fillId="20" borderId="0" xfId="1" applyFont="1" applyFill="1" applyBorder="1" applyAlignment="1" applyProtection="1">
      <alignment horizontal="right" wrapText="1"/>
    </xf>
    <xf numFmtId="44" fontId="56" fillId="20" borderId="4" xfId="1" applyFont="1" applyFill="1" applyBorder="1" applyAlignment="1" applyProtection="1">
      <alignment horizontal="right" wrapText="1"/>
    </xf>
    <xf numFmtId="2" fontId="50" fillId="0" borderId="0" xfId="1" applyNumberFormat="1" applyFont="1" applyProtection="1"/>
    <xf numFmtId="44" fontId="53" fillId="0" borderId="0" xfId="1" applyFont="1" applyFill="1" applyAlignment="1" applyProtection="1">
      <alignment horizontal="right"/>
    </xf>
    <xf numFmtId="44" fontId="27" fillId="17" borderId="0" xfId="1" applyFont="1" applyFill="1" applyAlignment="1" applyProtection="1">
      <alignment horizontal="right"/>
    </xf>
    <xf numFmtId="44" fontId="27" fillId="20" borderId="0" xfId="1" applyFont="1" applyFill="1" applyAlignment="1" applyProtection="1">
      <alignment horizontal="right"/>
    </xf>
    <xf numFmtId="44" fontId="27" fillId="0" borderId="0" xfId="1" applyFont="1" applyFill="1" applyAlignment="1" applyProtection="1">
      <alignment horizontal="right"/>
    </xf>
    <xf numFmtId="2" fontId="0" fillId="20" borderId="0" xfId="1" applyNumberFormat="1" applyFont="1" applyFill="1" applyAlignment="1" applyProtection="1">
      <alignment horizontal="right"/>
    </xf>
    <xf numFmtId="44" fontId="28" fillId="0" borderId="0" xfId="1" applyFont="1" applyAlignment="1" applyProtection="1">
      <alignment horizontal="right"/>
    </xf>
    <xf numFmtId="44" fontId="0" fillId="20" borderId="0" xfId="1" applyFont="1" applyFill="1" applyAlignment="1" applyProtection="1">
      <alignment horizontal="right"/>
    </xf>
    <xf numFmtId="2" fontId="0" fillId="0" borderId="0" xfId="1" applyNumberFormat="1" applyFont="1" applyFill="1" applyAlignment="1" applyProtection="1">
      <alignment horizontal="right"/>
    </xf>
    <xf numFmtId="44" fontId="24" fillId="0" borderId="0" xfId="1" applyFont="1" applyBorder="1" applyAlignment="1" applyProtection="1">
      <alignment wrapText="1"/>
    </xf>
    <xf numFmtId="44" fontId="53" fillId="0" borderId="0" xfId="1" applyFont="1" applyFill="1" applyAlignment="1" applyProtection="1">
      <alignment horizontal="right" wrapText="1"/>
    </xf>
    <xf numFmtId="44" fontId="54" fillId="0" borderId="0" xfId="1" applyFont="1" applyFill="1" applyAlignment="1" applyProtection="1">
      <alignment horizontal="right" wrapText="1"/>
    </xf>
    <xf numFmtId="44" fontId="54" fillId="0" borderId="0" xfId="1" applyFont="1" applyFill="1" applyProtection="1"/>
    <xf numFmtId="44" fontId="58" fillId="0" borderId="0" xfId="1" applyFont="1" applyFill="1" applyAlignment="1" applyProtection="1">
      <alignment horizontal="right"/>
    </xf>
    <xf numFmtId="0" fontId="49" fillId="0" borderId="0" xfId="0" applyFont="1" applyAlignment="1">
      <alignment horizontal="right"/>
    </xf>
    <xf numFmtId="44" fontId="49" fillId="0" borderId="0" xfId="1" applyFont="1" applyAlignment="1" applyProtection="1">
      <alignment horizontal="right"/>
    </xf>
    <xf numFmtId="44" fontId="49" fillId="0" borderId="0" xfId="1" applyFont="1" applyFill="1" applyProtection="1"/>
    <xf numFmtId="44" fontId="49" fillId="17" borderId="0" xfId="1" applyFont="1" applyFill="1" applyProtection="1"/>
    <xf numFmtId="44" fontId="59" fillId="0" borderId="0" xfId="1" applyFont="1" applyFill="1" applyAlignment="1" applyProtection="1">
      <alignment wrapText="1"/>
    </xf>
    <xf numFmtId="2" fontId="49" fillId="0" borderId="0" xfId="1" applyNumberFormat="1" applyFont="1" applyFill="1" applyProtection="1"/>
    <xf numFmtId="2" fontId="49" fillId="18" borderId="0" xfId="1" applyNumberFormat="1" applyFont="1" applyFill="1" applyProtection="1"/>
    <xf numFmtId="2" fontId="49" fillId="3" borderId="0" xfId="1" applyNumberFormat="1" applyFont="1" applyFill="1" applyProtection="1"/>
    <xf numFmtId="0" fontId="49" fillId="17" borderId="0" xfId="0" applyFont="1" applyFill="1"/>
    <xf numFmtId="0" fontId="49" fillId="0" borderId="0" xfId="0" applyFont="1"/>
    <xf numFmtId="0" fontId="33" fillId="0" borderId="0" xfId="0" applyFont="1" applyAlignment="1">
      <alignment horizontal="right"/>
    </xf>
    <xf numFmtId="44" fontId="33" fillId="0" borderId="0" xfId="1" applyFont="1" applyAlignment="1" applyProtection="1">
      <alignment horizontal="right"/>
    </xf>
    <xf numFmtId="44" fontId="17" fillId="14" borderId="0" xfId="1" applyFont="1" applyFill="1" applyAlignment="1" applyProtection="1">
      <alignment wrapText="1"/>
    </xf>
    <xf numFmtId="44" fontId="52" fillId="0" borderId="0" xfId="1" applyFont="1" applyFill="1" applyProtection="1"/>
    <xf numFmtId="44" fontId="52" fillId="14" borderId="0" xfId="1" applyFont="1" applyFill="1" applyAlignment="1" applyProtection="1">
      <alignment horizontal="center"/>
    </xf>
    <xf numFmtId="44" fontId="52" fillId="0" borderId="0" xfId="1" applyFont="1" applyFill="1" applyAlignment="1" applyProtection="1">
      <alignment horizontal="right"/>
    </xf>
    <xf numFmtId="44" fontId="17" fillId="0" borderId="0" xfId="1" applyFont="1" applyFill="1" applyAlignment="1" applyProtection="1">
      <alignment horizontal="right" wrapText="1"/>
    </xf>
    <xf numFmtId="0" fontId="0" fillId="19" borderId="0" xfId="0" applyFill="1" applyAlignment="1">
      <alignment wrapText="1"/>
    </xf>
    <xf numFmtId="0" fontId="12" fillId="0" borderId="0" xfId="0" applyFont="1" applyAlignment="1">
      <alignment wrapText="1"/>
    </xf>
    <xf numFmtId="44" fontId="57" fillId="0" borderId="0" xfId="1" applyFont="1" applyFill="1" applyProtection="1"/>
    <xf numFmtId="44" fontId="57" fillId="14" borderId="0" xfId="1" applyFont="1" applyFill="1" applyAlignment="1" applyProtection="1">
      <alignment horizontal="center"/>
    </xf>
    <xf numFmtId="44" fontId="22" fillId="0" borderId="0" xfId="1" applyFont="1" applyAlignment="1" applyProtection="1">
      <alignment horizontal="right"/>
    </xf>
    <xf numFmtId="44" fontId="24" fillId="20" borderId="0" xfId="1" applyFont="1" applyFill="1" applyBorder="1" applyAlignment="1" applyProtection="1">
      <alignment horizontal="right"/>
    </xf>
    <xf numFmtId="2" fontId="0" fillId="17" borderId="0" xfId="1" applyNumberFormat="1" applyFont="1" applyFill="1" applyAlignment="1" applyProtection="1">
      <alignment horizontal="right"/>
    </xf>
    <xf numFmtId="2" fontId="49" fillId="0" borderId="0" xfId="1" applyNumberFormat="1" applyFont="1" applyFill="1" applyAlignment="1" applyProtection="1">
      <alignment horizontal="right"/>
    </xf>
    <xf numFmtId="44" fontId="49" fillId="17" borderId="0" xfId="1" applyFont="1" applyFill="1" applyAlignment="1" applyProtection="1">
      <alignment horizontal="right"/>
    </xf>
    <xf numFmtId="0" fontId="49" fillId="20" borderId="0" xfId="0" applyFont="1" applyFill="1" applyAlignment="1">
      <alignment horizontal="right"/>
    </xf>
    <xf numFmtId="2" fontId="49" fillId="0" borderId="0" xfId="1" applyNumberFormat="1" applyFont="1" applyFill="1" applyBorder="1" applyAlignment="1" applyProtection="1">
      <alignment horizontal="right"/>
    </xf>
    <xf numFmtId="44" fontId="59" fillId="0" borderId="0" xfId="1" applyFont="1" applyFill="1" applyAlignment="1" applyProtection="1">
      <alignment horizontal="right" wrapText="1"/>
    </xf>
    <xf numFmtId="2" fontId="49" fillId="20" borderId="0" xfId="1" applyNumberFormat="1" applyFont="1" applyFill="1" applyAlignment="1" applyProtection="1">
      <alignment horizontal="right"/>
    </xf>
    <xf numFmtId="2" fontId="49" fillId="17" borderId="0" xfId="1" applyNumberFormat="1" applyFont="1" applyFill="1" applyAlignment="1" applyProtection="1">
      <alignment horizontal="right"/>
    </xf>
    <xf numFmtId="2" fontId="49" fillId="18" borderId="0" xfId="1" applyNumberFormat="1" applyFont="1" applyFill="1" applyAlignment="1" applyProtection="1">
      <alignment horizontal="right"/>
    </xf>
    <xf numFmtId="2" fontId="49" fillId="3" borderId="0" xfId="1" applyNumberFormat="1" applyFont="1" applyFill="1" applyAlignment="1" applyProtection="1">
      <alignment horizontal="right"/>
    </xf>
    <xf numFmtId="0" fontId="49" fillId="17" borderId="0" xfId="0" applyFont="1" applyFill="1" applyAlignment="1">
      <alignment horizontal="right"/>
    </xf>
    <xf numFmtId="0" fontId="12" fillId="0" borderId="0" xfId="0" applyFont="1" applyAlignment="1">
      <alignment horizontal="left"/>
    </xf>
    <xf numFmtId="44" fontId="49" fillId="0" borderId="0" xfId="1" applyFont="1" applyProtection="1"/>
    <xf numFmtId="44" fontId="49" fillId="20" borderId="0" xfId="1" applyFont="1" applyFill="1" applyProtection="1"/>
    <xf numFmtId="44" fontId="49" fillId="20" borderId="0" xfId="1" applyFont="1" applyFill="1" applyAlignment="1" applyProtection="1">
      <alignment horizontal="right"/>
    </xf>
    <xf numFmtId="2" fontId="60" fillId="0" borderId="0" xfId="0" applyNumberFormat="1" applyFont="1"/>
    <xf numFmtId="2" fontId="51" fillId="0" borderId="0" xfId="1" applyNumberFormat="1" applyFont="1" applyAlignment="1" applyProtection="1">
      <alignment horizontal="center" wrapText="1"/>
    </xf>
    <xf numFmtId="44" fontId="61" fillId="0" borderId="0" xfId="1" applyFont="1" applyFill="1" applyProtection="1"/>
    <xf numFmtId="44" fontId="61" fillId="0" borderId="0" xfId="1" applyFont="1" applyFill="1" applyAlignment="1" applyProtection="1">
      <alignment wrapText="1"/>
    </xf>
    <xf numFmtId="44" fontId="56" fillId="0" borderId="0" xfId="1" applyFont="1" applyFill="1" applyAlignment="1" applyProtection="1">
      <alignment horizontal="center" wrapText="1"/>
    </xf>
    <xf numFmtId="0" fontId="61" fillId="0" borderId="0" xfId="0" applyFont="1" applyAlignment="1">
      <alignment horizontal="right"/>
    </xf>
    <xf numFmtId="44" fontId="56" fillId="14" borderId="0" xfId="1" applyFont="1" applyFill="1" applyAlignment="1" applyProtection="1">
      <alignment horizontal="center" wrapText="1"/>
    </xf>
    <xf numFmtId="44" fontId="56" fillId="14" borderId="0" xfId="1" applyFont="1" applyFill="1" applyProtection="1"/>
    <xf numFmtId="44" fontId="62" fillId="0" borderId="0" xfId="1" applyFont="1" applyFill="1" applyProtection="1"/>
    <xf numFmtId="44" fontId="62" fillId="14" borderId="0" xfId="1" applyFont="1" applyFill="1" applyAlignment="1" applyProtection="1">
      <alignment horizontal="center"/>
    </xf>
    <xf numFmtId="0" fontId="28" fillId="0" borderId="0" xfId="0" applyFont="1" applyAlignment="1">
      <alignment horizontal="left"/>
    </xf>
    <xf numFmtId="44" fontId="28" fillId="0" borderId="0" xfId="1" applyFont="1" applyAlignment="1" applyProtection="1">
      <alignment horizontal="left"/>
    </xf>
    <xf numFmtId="44" fontId="22" fillId="0" borderId="0" xfId="1" applyFont="1" applyAlignment="1" applyProtection="1">
      <alignment horizontal="left"/>
    </xf>
    <xf numFmtId="44" fontId="0" fillId="0" borderId="0" xfId="1" applyFont="1" applyAlignment="1" applyProtection="1">
      <alignment horizontal="left"/>
    </xf>
    <xf numFmtId="44" fontId="0" fillId="0" borderId="0" xfId="1" applyFont="1" applyFill="1" applyAlignment="1" applyProtection="1">
      <alignment horizontal="left"/>
    </xf>
    <xf numFmtId="44" fontId="0" fillId="17" borderId="0" xfId="1" applyFont="1" applyFill="1" applyAlignment="1" applyProtection="1">
      <alignment horizontal="left"/>
    </xf>
    <xf numFmtId="2" fontId="0" fillId="20" borderId="0" xfId="1" applyNumberFormat="1" applyFont="1" applyFill="1" applyAlignment="1" applyProtection="1">
      <alignment horizontal="left"/>
    </xf>
    <xf numFmtId="44" fontId="12" fillId="0" borderId="0" xfId="1" applyFont="1" applyFill="1" applyAlignment="1" applyProtection="1">
      <alignment horizontal="left" wrapText="1"/>
    </xf>
    <xf numFmtId="2" fontId="0" fillId="0" borderId="0" xfId="1" applyNumberFormat="1" applyFont="1" applyFill="1" applyAlignment="1" applyProtection="1">
      <alignment horizontal="left"/>
    </xf>
    <xf numFmtId="2" fontId="0" fillId="18" borderId="0" xfId="1" applyNumberFormat="1" applyFont="1" applyFill="1" applyAlignment="1" applyProtection="1">
      <alignment horizontal="left"/>
    </xf>
    <xf numFmtId="0" fontId="61" fillId="0" borderId="0" xfId="0" applyFont="1" applyAlignment="1">
      <alignment wrapText="1"/>
    </xf>
    <xf numFmtId="0" fontId="61" fillId="0" borderId="0" xfId="0" applyFont="1"/>
    <xf numFmtId="0" fontId="61" fillId="0" borderId="0" xfId="0" applyFont="1" applyAlignment="1">
      <alignment horizontal="center"/>
    </xf>
    <xf numFmtId="2" fontId="61" fillId="0" borderId="0" xfId="0" applyNumberFormat="1" applyFont="1"/>
    <xf numFmtId="44" fontId="56" fillId="0" borderId="0" xfId="1" applyFont="1" applyFill="1" applyProtection="1"/>
    <xf numFmtId="44" fontId="63" fillId="0" borderId="0" xfId="1" applyFont="1" applyFill="1" applyProtection="1"/>
    <xf numFmtId="44" fontId="63" fillId="14" borderId="0" xfId="1" applyFont="1" applyFill="1" applyAlignment="1" applyProtection="1">
      <alignment horizontal="center"/>
    </xf>
    <xf numFmtId="0" fontId="59" fillId="0" borderId="0" xfId="0" applyFont="1"/>
    <xf numFmtId="44" fontId="30" fillId="19" borderId="0" xfId="1" applyFont="1" applyFill="1" applyBorder="1" applyAlignment="1" applyProtection="1"/>
    <xf numFmtId="0" fontId="64" fillId="0" borderId="0" xfId="0" applyFont="1"/>
    <xf numFmtId="44" fontId="64" fillId="0" borderId="0" xfId="0" applyNumberFormat="1" applyFont="1"/>
    <xf numFmtId="0" fontId="53" fillId="0" borderId="0" xfId="0" applyFont="1" applyAlignment="1">
      <alignment wrapText="1"/>
    </xf>
    <xf numFmtId="0" fontId="53" fillId="0" borderId="0" xfId="0" applyFont="1"/>
    <xf numFmtId="0" fontId="53" fillId="0" borderId="0" xfId="0" applyFont="1" applyAlignment="1">
      <alignment horizontal="center"/>
    </xf>
    <xf numFmtId="2" fontId="53" fillId="0" borderId="0" xfId="0" applyNumberFormat="1" applyFont="1"/>
    <xf numFmtId="3" fontId="53" fillId="0" borderId="0" xfId="1" applyNumberFormat="1" applyFont="1" applyFill="1" applyProtection="1"/>
    <xf numFmtId="0" fontId="53" fillId="14" borderId="0" xfId="0" applyFont="1" applyFill="1"/>
    <xf numFmtId="44" fontId="65" fillId="0" borderId="0" xfId="1" applyFont="1" applyFill="1" applyAlignment="1" applyProtection="1">
      <alignment horizontal="right"/>
    </xf>
    <xf numFmtId="44" fontId="66" fillId="0" borderId="0" xfId="1" applyFont="1" applyFill="1" applyAlignment="1" applyProtection="1">
      <alignment horizontal="right"/>
    </xf>
    <xf numFmtId="0" fontId="60" fillId="0" borderId="0" xfId="0" applyFont="1"/>
    <xf numFmtId="2" fontId="18" fillId="16" borderId="0" xfId="0" applyNumberFormat="1" applyFont="1" applyFill="1"/>
    <xf numFmtId="2" fontId="17" fillId="16" borderId="0" xfId="1" applyNumberFormat="1" applyFont="1" applyFill="1" applyProtection="1"/>
    <xf numFmtId="3" fontId="0" fillId="16" borderId="0" xfId="1" applyNumberFormat="1" applyFont="1" applyFill="1" applyProtection="1"/>
    <xf numFmtId="2" fontId="0" fillId="16" borderId="0" xfId="1" applyNumberFormat="1" applyFont="1" applyFill="1" applyProtection="1"/>
    <xf numFmtId="2" fontId="0" fillId="16" borderId="0" xfId="1" applyNumberFormat="1" applyFont="1" applyFill="1" applyAlignment="1" applyProtection="1">
      <alignment wrapText="1"/>
    </xf>
    <xf numFmtId="2" fontId="14" fillId="16" borderId="0" xfId="1" applyNumberFormat="1" applyFont="1" applyFill="1" applyAlignment="1" applyProtection="1">
      <alignment horizontal="center" wrapText="1"/>
    </xf>
    <xf numFmtId="2" fontId="28" fillId="16" borderId="0" xfId="1" applyNumberFormat="1" applyFont="1" applyFill="1" applyProtection="1"/>
    <xf numFmtId="2" fontId="29" fillId="16" borderId="0" xfId="1" applyNumberFormat="1" applyFont="1" applyFill="1" applyProtection="1"/>
    <xf numFmtId="44" fontId="28" fillId="16" borderId="0" xfId="1" applyFont="1" applyFill="1" applyAlignment="1" applyProtection="1">
      <alignment horizontal="right"/>
    </xf>
    <xf numFmtId="2" fontId="49" fillId="16" borderId="0" xfId="1" applyNumberFormat="1" applyFont="1" applyFill="1" applyProtection="1"/>
    <xf numFmtId="0" fontId="4" fillId="0" borderId="0" xfId="0" applyFont="1"/>
    <xf numFmtId="0" fontId="25" fillId="0" borderId="0" xfId="0" applyFont="1"/>
    <xf numFmtId="0" fontId="25" fillId="0" borderId="0" xfId="0" applyFont="1" applyAlignment="1">
      <alignment horizontal="right"/>
    </xf>
    <xf numFmtId="2" fontId="25" fillId="0" borderId="0" xfId="0" applyNumberFormat="1" applyFont="1"/>
    <xf numFmtId="3" fontId="25" fillId="0" borderId="0" xfId="0" applyNumberFormat="1" applyFont="1"/>
    <xf numFmtId="2" fontId="24" fillId="0" borderId="0" xfId="0" applyNumberFormat="1" applyFont="1"/>
    <xf numFmtId="3" fontId="24" fillId="0" borderId="0" xfId="0" applyNumberFormat="1" applyFont="1"/>
    <xf numFmtId="0" fontId="49" fillId="0" borderId="0" xfId="0" applyFont="1" applyAlignment="1">
      <alignment wrapText="1"/>
    </xf>
    <xf numFmtId="2" fontId="49" fillId="0" borderId="0" xfId="0" applyNumberFormat="1" applyFont="1"/>
    <xf numFmtId="3" fontId="49" fillId="0" borderId="0" xfId="0" applyNumberFormat="1" applyFont="1"/>
    <xf numFmtId="9" fontId="24" fillId="0" borderId="0" xfId="0" applyNumberFormat="1" applyFont="1"/>
    <xf numFmtId="9" fontId="49" fillId="0" borderId="0" xfId="0" applyNumberFormat="1" applyFont="1"/>
    <xf numFmtId="9" fontId="0" fillId="0" borderId="0" xfId="0" applyNumberFormat="1"/>
    <xf numFmtId="9" fontId="25" fillId="0" borderId="0" xfId="0" applyNumberFormat="1" applyFont="1"/>
    <xf numFmtId="44" fontId="24" fillId="0" borderId="0" xfId="0" applyNumberFormat="1" applyFont="1"/>
    <xf numFmtId="44" fontId="49" fillId="0" borderId="0" xfId="0" applyNumberFormat="1" applyFont="1" applyAlignment="1">
      <alignment wrapText="1"/>
    </xf>
    <xf numFmtId="44" fontId="25" fillId="0" borderId="0" xfId="0" applyNumberFormat="1" applyFont="1"/>
    <xf numFmtId="44" fontId="49" fillId="0" borderId="0" xfId="1" applyFont="1" applyAlignment="1">
      <alignment wrapText="1"/>
    </xf>
    <xf numFmtId="44" fontId="49" fillId="0" borderId="0" xfId="1" applyFont="1" applyFill="1" applyAlignment="1">
      <alignment wrapText="1"/>
    </xf>
    <xf numFmtId="44" fontId="49" fillId="27" borderId="0" xfId="1" applyFont="1" applyFill="1" applyAlignment="1">
      <alignment wrapText="1"/>
    </xf>
    <xf numFmtId="0" fontId="0" fillId="15" borderId="0" xfId="0" applyFill="1"/>
    <xf numFmtId="0" fontId="0" fillId="15" borderId="16" xfId="0" applyFill="1" applyBorder="1"/>
    <xf numFmtId="0" fontId="0" fillId="28" borderId="0" xfId="0" applyFill="1"/>
    <xf numFmtId="0" fontId="40" fillId="29" borderId="0" xfId="0" applyFont="1" applyFill="1"/>
    <xf numFmtId="0" fontId="40" fillId="29" borderId="0" xfId="0" applyFont="1" applyFill="1" applyAlignment="1">
      <alignment horizontal="right"/>
    </xf>
    <xf numFmtId="0" fontId="40" fillId="28" borderId="0" xfId="0" applyFont="1" applyFill="1"/>
    <xf numFmtId="0" fontId="40" fillId="17" borderId="0" xfId="0" applyFont="1" applyFill="1"/>
    <xf numFmtId="0" fontId="17" fillId="0" borderId="0" xfId="0" applyFont="1"/>
    <xf numFmtId="0" fontId="68" fillId="28" borderId="0" xfId="0" applyFont="1" applyFill="1"/>
    <xf numFmtId="0" fontId="68" fillId="17" borderId="0" xfId="0" applyFont="1" applyFill="1"/>
    <xf numFmtId="0" fontId="68" fillId="0" borderId="0" xfId="0" applyFont="1"/>
    <xf numFmtId="9" fontId="17" fillId="0" borderId="0" xfId="0" applyNumberFormat="1" applyFont="1"/>
    <xf numFmtId="44" fontId="67" fillId="28" borderId="0" xfId="1" applyFont="1" applyFill="1"/>
    <xf numFmtId="0" fontId="67" fillId="17" borderId="0" xfId="0" applyFont="1" applyFill="1"/>
    <xf numFmtId="0" fontId="67" fillId="0" borderId="0" xfId="0" applyFont="1"/>
    <xf numFmtId="44" fontId="64" fillId="28" borderId="0" xfId="1" applyFont="1" applyFill="1"/>
    <xf numFmtId="0" fontId="64" fillId="17" borderId="0" xfId="0" applyFont="1" applyFill="1"/>
    <xf numFmtId="44" fontId="0" fillId="28" borderId="0" xfId="1" applyFont="1" applyFill="1"/>
    <xf numFmtId="0" fontId="0" fillId="28" borderId="16" xfId="0" applyFill="1" applyBorder="1"/>
    <xf numFmtId="0" fontId="49" fillId="0" borderId="16" xfId="0" applyFont="1" applyBorder="1" applyAlignment="1">
      <alignment wrapText="1"/>
    </xf>
    <xf numFmtId="44" fontId="49" fillId="0" borderId="16" xfId="1" applyFont="1" applyBorder="1" applyAlignment="1">
      <alignment wrapText="1"/>
    </xf>
    <xf numFmtId="44" fontId="49" fillId="0" borderId="16" xfId="1" applyFont="1" applyFill="1" applyBorder="1" applyAlignment="1">
      <alignment wrapText="1"/>
    </xf>
    <xf numFmtId="0" fontId="0" fillId="0" borderId="16" xfId="0" applyBorder="1"/>
    <xf numFmtId="0" fontId="0" fillId="17" borderId="16" xfId="0" applyFill="1" applyBorder="1"/>
    <xf numFmtId="0" fontId="0" fillId="29" borderId="0" xfId="0" applyFill="1"/>
    <xf numFmtId="9" fontId="0" fillId="27" borderId="0" xfId="0" applyNumberFormat="1" applyFill="1"/>
    <xf numFmtId="9" fontId="12" fillId="0" borderId="0" xfId="1" applyNumberFormat="1" applyFont="1" applyFill="1" applyAlignment="1" applyProtection="1">
      <alignment wrapText="1"/>
    </xf>
    <xf numFmtId="9" fontId="17" fillId="0" borderId="0" xfId="1" applyNumberFormat="1" applyFont="1" applyFill="1" applyAlignment="1" applyProtection="1">
      <alignment wrapText="1"/>
    </xf>
    <xf numFmtId="44" fontId="24" fillId="0" borderId="0" xfId="1" applyFont="1" applyFill="1" applyAlignment="1" applyProtection="1">
      <alignment wrapText="1"/>
    </xf>
    <xf numFmtId="44" fontId="59" fillId="0" borderId="0" xfId="1" applyFont="1" applyAlignment="1" applyProtection="1">
      <alignment wrapText="1"/>
    </xf>
    <xf numFmtId="44" fontId="25" fillId="0" borderId="0" xfId="1" applyFont="1" applyFill="1" applyAlignment="1" applyProtection="1">
      <alignment wrapText="1"/>
    </xf>
    <xf numFmtId="44" fontId="24" fillId="16" borderId="0" xfId="1" applyFont="1" applyFill="1" applyProtection="1"/>
    <xf numFmtId="44" fontId="0" fillId="16" borderId="0" xfId="1" applyFont="1" applyFill="1" applyAlignment="1" applyProtection="1">
      <alignment wrapText="1"/>
    </xf>
    <xf numFmtId="44" fontId="14" fillId="16" borderId="0" xfId="1" applyFont="1" applyFill="1" applyAlignment="1" applyProtection="1">
      <alignment horizontal="center" wrapText="1"/>
    </xf>
    <xf numFmtId="44" fontId="0" fillId="16" borderId="0" xfId="1" applyFont="1" applyFill="1" applyProtection="1"/>
    <xf numFmtId="44" fontId="18" fillId="16" borderId="0" xfId="1" applyFont="1" applyFill="1" applyProtection="1"/>
    <xf numFmtId="44" fontId="24" fillId="16" borderId="0" xfId="1" applyFont="1" applyFill="1" applyAlignment="1" applyProtection="1">
      <alignment horizontal="right"/>
    </xf>
    <xf numFmtId="44" fontId="49" fillId="16" borderId="0" xfId="1" applyFont="1" applyFill="1" applyProtection="1"/>
    <xf numFmtId="0" fontId="0" fillId="30" borderId="0" xfId="0" applyFill="1"/>
    <xf numFmtId="0" fontId="0" fillId="30" borderId="0" xfId="0" applyFill="1" applyAlignment="1">
      <alignment horizontal="center"/>
    </xf>
    <xf numFmtId="3" fontId="0" fillId="15" borderId="0" xfId="1" applyNumberFormat="1" applyFont="1" applyFill="1" applyBorder="1" applyProtection="1"/>
    <xf numFmtId="0" fontId="3" fillId="0" borderId="0" xfId="0" applyFont="1"/>
    <xf numFmtId="44" fontId="19" fillId="0" borderId="0" xfId="2" applyNumberFormat="1"/>
    <xf numFmtId="0" fontId="2" fillId="0" borderId="0" xfId="0" applyFont="1" applyAlignment="1">
      <alignment wrapText="1"/>
    </xf>
    <xf numFmtId="0" fontId="2" fillId="0" borderId="0" xfId="0" applyFont="1"/>
    <xf numFmtId="0" fontId="70" fillId="0" borderId="0" xfId="0" applyFont="1"/>
    <xf numFmtId="0" fontId="2" fillId="0" borderId="0" xfId="0" applyFont="1" applyAlignment="1">
      <alignment horizontal="right"/>
    </xf>
    <xf numFmtId="0" fontId="12" fillId="29" borderId="4" xfId="0" applyFont="1" applyFill="1" applyBorder="1" applyAlignment="1">
      <alignment wrapText="1"/>
    </xf>
    <xf numFmtId="2" fontId="18" fillId="29" borderId="0" xfId="0" applyNumberFormat="1" applyFont="1" applyFill="1"/>
    <xf numFmtId="0" fontId="18" fillId="29" borderId="0" xfId="0" applyFont="1" applyFill="1"/>
    <xf numFmtId="44" fontId="24" fillId="0" borderId="0" xfId="1" applyFont="1" applyBorder="1" applyAlignment="1" applyProtection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44" fontId="52" fillId="14" borderId="0" xfId="1" applyFont="1" applyFill="1" applyAlignment="1" applyProtection="1">
      <alignment horizontal="right" wrapText="1"/>
    </xf>
    <xf numFmtId="0" fontId="52" fillId="14" borderId="0" xfId="0" applyFont="1" applyFill="1" applyAlignment="1">
      <alignment horizontal="right" wrapText="1"/>
    </xf>
    <xf numFmtId="44" fontId="12" fillId="14" borderId="0" xfId="1" applyFont="1" applyFill="1" applyAlignment="1" applyProtection="1">
      <alignment wrapText="1"/>
    </xf>
    <xf numFmtId="0" fontId="12" fillId="0" borderId="0" xfId="0" applyFont="1" applyAlignment="1">
      <alignment wrapText="1"/>
    </xf>
    <xf numFmtId="44" fontId="24" fillId="0" borderId="0" xfId="1" applyFont="1" applyBorder="1" applyAlignment="1" applyProtection="1">
      <alignment horizontal="left" wrapText="1"/>
    </xf>
    <xf numFmtId="0" fontId="24" fillId="0" borderId="0" xfId="0" applyFont="1" applyAlignment="1">
      <alignment wrapText="1"/>
    </xf>
  </cellXfs>
  <cellStyles count="3">
    <cellStyle name="Currency" xfId="1" builtinId="4"/>
    <cellStyle name="Hyperlink" xfId="2" builtinId="8"/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0" formatCode="&quot;$&quot;#,##0_);[Red]\(&quot;$&quot;#,##0\)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0" formatCode="&quot;$&quot;#,##0_);[Red]\(&quot;$&quot;#,##0\)"/>
      <fill>
        <patternFill patternType="none">
          <fgColor indexed="64"/>
          <bgColor theme="7" tint="-0.499984740745262"/>
        </patternFill>
      </fill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alignment horizontal="left" textRotation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numFmt numFmtId="10" formatCode="&quot;$&quot;#,##0_);[Red]\(&quot;$&quot;#,##0\)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0" formatCode="&quot;$&quot;#,##0_);[Red]\(&quot;$&quot;#,##0\)"/>
      <fill>
        <patternFill patternType="none">
          <fgColor indexed="64"/>
          <bgColor theme="1" tint="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0" formatCode="&quot;$&quot;#,##0_);[Red]\(&quot;$&quot;#,##0\)"/>
      <fill>
        <patternFill patternType="none">
          <fgColor indexed="64"/>
          <bgColor theme="7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0000"/>
      <color rgb="FFFF00FF"/>
      <color rgb="FF66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4ADDCB-5A4C-46A1-BE51-4A223186DC64}" name="Table5" displayName="Table5" ref="A4:F82" totalsRowShown="0" headerRowDxfId="51" dataDxfId="50" tableBorderDxfId="49">
  <autoFilter ref="A4:F82" xr:uid="{C74ADDCB-5A4C-46A1-BE51-4A223186DC64}"/>
  <tableColumns count="6">
    <tableColumn id="1" xr3:uid="{A550867E-FB4A-4741-BDF9-B9BB47D912E1}" name="Peptide" dataDxfId="48"/>
    <tableColumn id="2" xr3:uid="{BFCCE1E2-06AE-4FBF-8766-D1B4D3F0F9D0}" name="2/2/2026 COST" dataDxfId="47"/>
    <tableColumn id="6" xr3:uid="{97F22010-94A4-4560-AA1D-3C587DA1E140}" name="Plus $100 (includes BAC)" dataDxfId="46">
      <calculatedColumnFormula>+B5+50</calculatedColumnFormula>
    </tableColumn>
    <tableColumn id="3" xr3:uid="{DF870B01-08E0-4E39-8565-277AEE602867}" name="Regular Price _x000a_Per Unit" dataDxfId="45">
      <calculatedColumnFormula>+B5+50</calculatedColumnFormula>
    </tableColumn>
    <tableColumn id="4" xr3:uid="{C6B53D3F-63B1-4A23-A402-25E0AA2B9B0E}" name="VIP Price _x000a_Per Unit" dataDxfId="44">
      <calculatedColumnFormula>+B5+30</calculatedColumnFormula>
    </tableColumn>
    <tableColumn id="5" xr3:uid="{64D56C4E-B650-427A-AFDF-3DC89DFE7010}" name="Column1" dataDxfId="4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5DDCCA1-C045-46AC-9916-B435F4C95DD7}" name="Table248" displayName="Table248" ref="A74:C84" totalsRowShown="0" headerRowDxfId="42" dataDxfId="40" headerRowBorderDxfId="41" tableBorderDxfId="39" totalsRowBorderDxfId="38">
  <tableColumns count="3">
    <tableColumn id="1" xr3:uid="{37711B46-3919-4823-8017-8F7FAE7B6215}" name="Tablets/Caps" dataDxfId="37"/>
    <tableColumn id="4" xr3:uid="{2BFBE798-56C7-4C43-9599-8862D396C479}" name="Column3" dataDxfId="36"/>
    <tableColumn id="3" xr3:uid="{7423B0B9-B5F6-40ED-9E72-2E088FD01C67}" name="Column4" dataDxfId="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12D5F7A-FEA9-4D99-B75E-DAFB11D9523D}" name="Table110" displayName="Table110" ref="A87:C91" totalsRowShown="0" headerRowDxfId="34" headerRowBorderDxfId="33" tableBorderDxfId="32">
  <autoFilter ref="A87:C91" xr:uid="{B12D5F7A-FEA9-4D99-B75E-DAFB11D9523D}"/>
  <tableColumns count="3">
    <tableColumn id="1" xr3:uid="{C95E8448-59DA-4120-9E39-AA604345CCFB}" name="Nasal Sprays" dataDxfId="31"/>
    <tableColumn id="3" xr3:uid="{08FB11CB-9920-4AAD-8DEC-C6B37EA22A88}" name="Column3" dataDxfId="30"/>
    <tableColumn id="4" xr3:uid="{924EFA5E-EE99-4E85-BACC-AFE79EAA02E6}" name="Column4" dataDxfId="2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A28D3AB-4093-496B-AE42-3644371ED54A}" name="Table59" displayName="Table59" ref="A3:D64" totalsRowShown="0" headerRowDxfId="28" dataDxfId="27" tableBorderDxfId="26">
  <autoFilter ref="A3:D64" xr:uid="{4A28D3AB-4093-496B-AE42-3644371ED54A}"/>
  <tableColumns count="4">
    <tableColumn id="1" xr3:uid="{EAAD569D-E56B-487B-A480-CC29797DC72F}" name="Peptide" dataDxfId="25"/>
    <tableColumn id="3" xr3:uid="{37C5D70A-869A-44AA-B778-6C3D6F91377B}" name="Column1" dataDxfId="24"/>
    <tableColumn id="4" xr3:uid="{BB336711-C8E8-442C-89F8-61165BF25D15}" name="Column4" dataDxfId="23"/>
    <tableColumn id="5" xr3:uid="{A908521B-5064-4CDC-BA2F-53655A8CB451}" name="Column5" dataDxfId="2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FBB695-04F0-4F9A-8A5C-A8AAC9DA2C67}" name="Table13" displayName="Table13" ref="A1:F56" headerRowDxfId="21" dataDxfId="20">
  <autoFilter ref="A1:F56" xr:uid="{F0FBB695-04F0-4F9A-8A5C-A8AAC9DA2C67}"/>
  <tableColumns count="6">
    <tableColumn id="1" xr3:uid="{8B96DBEC-33B0-40CE-A530-DB6A2CD2FE76}" name="Peptide" totalsRowLabel="Total" dataDxfId="19" totalsRowDxfId="18"/>
    <tableColumn id="2" xr3:uid="{6D7FDF01-FC4F-4CB1-A508-DB2647F31B1B}" name="General Informational Flyer" dataDxfId="17" totalsRowDxfId="16"/>
    <tableColumn id="3" xr3:uid="{214C8F4D-2868-42CC-9C45-4D0977A766B1}" name="Office Wall Flyer" dataDxfId="15" totalsRowDxfId="14"/>
    <tableColumn id="4" xr3:uid="{0893EB3C-DADE-4FE5-AA6D-5494E7CBC9DF}" name="Take Home Instructions specific to dose (3ml)" dataDxfId="13" totalsRowDxfId="12"/>
    <tableColumn id="5" xr3:uid="{C94C7FD9-C159-45D3-BFC6-8C6AF82730A5}" name="Quick Genearl Education for Staff" dataDxfId="11" totalsRowDxfId="10"/>
    <tableColumn id="6" xr3:uid="{F2D8C818-22BB-4DF1-886B-87CF419B3FFC}" name="Column1" dataDxfId="9" totalsRow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1DB328-800D-4A3B-9277-F9C40F0CFB8F}" name="Table245" displayName="Table245" ref="A67:C74" totalsRowShown="0" headerRowDxfId="7" dataDxfId="5" headerRowBorderDxfId="6" tableBorderDxfId="4" totalsRowBorderDxfId="3">
  <autoFilter ref="A67:C74" xr:uid="{141DB328-800D-4A3B-9277-F9C40F0CFB8F}"/>
  <tableColumns count="3">
    <tableColumn id="1" xr3:uid="{A0615341-4617-46A9-99E1-45D8C04A335B}" name="Tablets/Caps" dataDxfId="2"/>
    <tableColumn id="2" xr3:uid="{DDAEA0E6-EC0E-4162-A814-A0003CF3C0EA}" name="Column1" dataDxfId="1"/>
    <tableColumn id="3" xr3:uid="{CD95CF31-2F9D-49D8-ABB8-427B26FDC710}" name="Colum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dp/B08FFK6LLH?ref=fed_asin_title" TargetMode="External"/><Relationship Id="rId13" Type="http://schemas.openxmlformats.org/officeDocument/2006/relationships/hyperlink" Target="https://www.amazon.com/CareLiving-Universal-Compatible-Ultra-Thin-Comfortable/dp/B0F43ND1TC/ref=sr_1_1?crid=2AHGAWFUK2DVE&amp;dib=eyJ2IjoiMSJ9.5v2hxfwmJcoAxHD4MwDgOA-lUKQeQ6nmz0HpSuy423uLaMMP8FIU4PwOY_Z4HsPxPZZfuZs3rt7nkd3fwMr3Awz-ngrPnfMHD8F-1t03M-UGGNqJM1RBI4TROpJSj9ksTS6IMi69_Ock8NqN5c1B41hAmdrH75-gPjKwfRkafp72WxUM2sOD45FxG4GuVhMthJDDQ200ZL7J937WXMgoHBnJ9jD3PaB-mmS75WlVR6BkYmLHdtWUtwG_E4Yhpz2o2zDgly7WWc56UQCFCXLgf79sMXy_N5yjtDJpKA8C3pI.kchdc9RAqFGwVB81IozySEtj8RZ-B13E3V8nzB9wGLE&amp;dib_tag=se&amp;keywords=pen+needles+6mm&amp;qid=1774466391&amp;sprefix=pen+nee%2Caps%2C777&amp;sr=8-1" TargetMode="External"/><Relationship Id="rId3" Type="http://schemas.openxmlformats.org/officeDocument/2006/relationships/hyperlink" Target="https://www.amazon.com/sspa/click?ie=UTF8&amp;spc=MTo3MDEyMjA4NTkzMDYwMDg5OjE3NzAzOTI2NTA6c3BfYXRmOjMwMDk2OTE2MjUyMDUwMjo6MDo6&amp;url=%2FSooez-Capacity-Snap-tight-Organizer-Stackable%2Fdp%2FB08YK5TS55%2Fref%3Dsr_1_2_sspa%3Fcrid%3D2DE5VNG0LLZ94%26dib%3DeyJ2IjoiMSJ9.gwd-i7KLzKkIkrECAJTR-TdaDmgplWxa9KKf8hdOMHT_qJNhPatoJ0JOuMf5oAHHXFjKuxJzQqarhZtUvZnYRFIj4OwAOrFF_yRl2LAtpfqmewfGj8GNihGrjCYhSlnLsTrdGIyOOmnUe66-aTCzB4Nd4y17_gMhBD9Yj56_YXza7pdNppPyeXLXDj9THu3syz9gKA1a0S-5j_3n3an4Dc6IIiPr7ufhG4SGGxus5uQ.GDyA-nEbn047jLrsSTjRlW4F3B-6l246pJPFj0hgPGE%26dib_tag%3Dse%26keywords%3Dplastic%2Bpencil%2Bbox%26qid%3D1770392650%26sprefix%3Dplastic%2Bpenci%252Caps%252C154%26sr%3D8-2-spons%26sp_csd%3Dd2lkZ2V0TmFtZT1zcF9hdGY%26psc%3D1" TargetMode="External"/><Relationship Id="rId7" Type="http://schemas.openxmlformats.org/officeDocument/2006/relationships/hyperlink" Target="https://www.amazon.com/dp/B003CT0KSI?ref=fed_asin_title" TargetMode="External"/><Relationship Id="rId12" Type="http://schemas.openxmlformats.org/officeDocument/2006/relationships/hyperlink" Target="https://a.co/d/00RU0nrx" TargetMode="External"/><Relationship Id="rId2" Type="http://schemas.openxmlformats.org/officeDocument/2006/relationships/hyperlink" Target="https://www.amazon.com/sspa/click?ie=UTF8&amp;spc=MTo4MDA3NjM4MjUxNDU2Mzc6MTc3MDM5MjE5NDpzcF9kZXRhaWxfdGhlbWF0aWM6MzAxMDMxNjYxNjQyMDAyOjoxOjo=&amp;url=%2FPIAOLGYI-Cartridges-Peptide-Universal-Cartridge%2Fdp%2FB0FGX4RF26%3Fpsc%3D1%26pd_rd_w%3DvawF8%26content-id%3Damzn1.sym.e7d77f83-4d42-48ed-825c-e0597e1533d7%26pf_rd_p%3De7d77f83-4d42-48ed-825c-e0597e1533d7%26pf_rd_r%3DJEQF2NC41N7HM3RWNHHT%26pd_rd_wg%3DHUxGk%26pd_rd_r%3Db68068a9-784c-4e98-a76b-d8b7013c18c9%26ref_%3Dsspa_dk_detail_gen_ai_1%26sp_csd%3Dd2lkZ2V0TmFtZT1zcF9kZXRhaWxfdGhlbWF0aWM%3D" TargetMode="External"/><Relationship Id="rId1" Type="http://schemas.openxmlformats.org/officeDocument/2006/relationships/hyperlink" Target="https://a.co/d/07XlHl4g" TargetMode="External"/><Relationship Id="rId6" Type="http://schemas.openxmlformats.org/officeDocument/2006/relationships/hyperlink" Target="https://www.amazon.com/dp/B0FHG31QR1?ref=fed_asin_title" TargetMode="External"/><Relationship Id="rId11" Type="http://schemas.openxmlformats.org/officeDocument/2006/relationships/hyperlink" Target="https://www.amazon.com/dp/B0DRWGVD9D?ref=fed_asin_title" TargetMode="External"/><Relationship Id="rId5" Type="http://schemas.openxmlformats.org/officeDocument/2006/relationships/hyperlink" Target="https://www.amazon.com/dp/B0DNYK3683?ref=fed_asin_title" TargetMode="External"/><Relationship Id="rId10" Type="http://schemas.openxmlformats.org/officeDocument/2006/relationships/hyperlink" Target="https://www.amazon.com/dp/B0BNG6C52W?ref=cm_sw_r_cso_em_apin_dp_8YG83H2PAEZS7K0T5TRH&amp;ref_=cm_sw_r_cso_em_apin_dp_8YG83H2PAEZS7K0T5TRH&amp;social_share=cm_sw_r_cso_em_apin_dp_8YG83H2PAEZS7K0T5TRH&amp;th=1" TargetMode="External"/><Relationship Id="rId4" Type="http://schemas.openxmlformats.org/officeDocument/2006/relationships/hyperlink" Target="https://www.amazon.com/sspa/click?ie=UTF8&amp;spc=MToxMTc2ODM1NTI4NTYyNTU1OjE3NzAzOTI5MjQ6c3BfYXRmOjMwMDg4MTgxMDIzMTcwMjo6MDo6&amp;url=%2FJoybe-8x4-75x10-Shopping-Business-Merchandise%2Fdp%2FB0F89VKH8C%2Fref%3Dsr_1_2_sspa%3Fcrid%3D2OV5NUSH6UCZF%26dib%3DeyJ2IjoiMSJ9.OpVxLb16BncgO-zuK4xxL0YSzzdeQEUD18OdG_HFJKiwmkfQOAOgu0qd7s9VS5AJngdhP9iPTn25ggVcpzaBu6L9HdlmdEcYxdWx9-N0bfCQrKm4peTzd6mFrWoPIpy1PiGzfe8dYhs1tE526SDVf2SaPJmzvvtJzXu-X0HLZO6IX38Kw1RGOahRV829JSSuvL-wYwfhMABV0xc1RemtdUcn5VPDyDsJwYK_QvJPaQw.IStMXOQC0yyXY1Xy33bxg-LlOrVLhaU7M8qfjgFZA3Q%26dib_tag%3Dse%26keywords%3Dnavy%2Bgift%2Bbag%26qid%3D1770392924%26sprefix%3Dnavy%2Bgift%2Bbag%252Caps%252C146%26sr%3D8-2-spons%26sp_csd%3Dd2lkZ2V0TmFtZT1zcF9hdGY%26psc%3D1" TargetMode="External"/><Relationship Id="rId9" Type="http://schemas.openxmlformats.org/officeDocument/2006/relationships/hyperlink" Target="https://www.amazon.com/dp/B07F2N14FV?ref=fed_asin_title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E2FD7-0615-49C9-B3A0-5A3E84A4CE89}">
  <sheetPr codeName="Sheet1"/>
  <dimension ref="A1:X60"/>
  <sheetViews>
    <sheetView view="pageLayout" topLeftCell="H1" zoomScaleNormal="100" workbookViewId="0">
      <selection activeCell="I43" sqref="I43"/>
    </sheetView>
  </sheetViews>
  <sheetFormatPr defaultRowHeight="15" x14ac:dyDescent="0.25"/>
  <cols>
    <col min="1" max="1" width="5.375" style="292" customWidth="1"/>
    <col min="2" max="2" width="15.125" style="292" bestFit="1" customWidth="1"/>
    <col min="3" max="8" width="9" style="292"/>
    <col min="9" max="9" width="9.5" style="298" customWidth="1"/>
    <col min="10" max="10" width="9" style="292"/>
    <col min="11" max="11" width="9" style="301"/>
    <col min="12" max="13" width="9" style="292"/>
    <col min="14" max="14" width="9" style="298"/>
    <col min="15" max="15" width="9" style="292"/>
    <col min="16" max="16" width="9" style="301"/>
    <col min="17" max="17" width="9" style="292"/>
    <col min="18" max="18" width="15.25" style="292" customWidth="1"/>
    <col min="19" max="21" width="9" style="292"/>
    <col min="22" max="22" width="31.875" style="292" customWidth="1"/>
    <col min="23" max="16384" width="9" style="292"/>
  </cols>
  <sheetData>
    <row r="1" spans="1:23" ht="6" customHeight="1" x14ac:dyDescent="0.25">
      <c r="A1" s="296"/>
      <c r="B1" s="296"/>
      <c r="C1" s="296"/>
      <c r="D1" s="296"/>
      <c r="E1" s="296"/>
      <c r="F1" s="296"/>
      <c r="G1" s="296"/>
      <c r="H1" s="296"/>
      <c r="I1" s="297"/>
      <c r="J1" s="296"/>
      <c r="K1" s="299"/>
      <c r="L1" s="296"/>
      <c r="M1" s="296"/>
      <c r="N1" s="297"/>
      <c r="O1" s="296"/>
      <c r="P1" s="299"/>
      <c r="Q1" s="296"/>
    </row>
    <row r="2" spans="1:23" s="294" customFormat="1" x14ac:dyDescent="0.25">
      <c r="I2" s="298"/>
      <c r="K2" s="300" t="s">
        <v>267</v>
      </c>
      <c r="L2" s="295"/>
      <c r="N2" s="298"/>
      <c r="P2" s="300" t="s">
        <v>267</v>
      </c>
      <c r="Q2" s="295"/>
      <c r="R2" s="338" t="s">
        <v>289</v>
      </c>
      <c r="S2" s="338"/>
      <c r="T2" s="338"/>
    </row>
    <row r="3" spans="1:23" ht="26.25" x14ac:dyDescent="0.4">
      <c r="A3" s="294" t="s">
        <v>294</v>
      </c>
      <c r="I3" s="648" t="str">
        <f>'BPC+TB500'!A1</f>
        <v>BPC157 + TB500 20mg</v>
      </c>
      <c r="K3" s="384"/>
      <c r="N3" s="16" t="s">
        <v>290</v>
      </c>
      <c r="U3" s="361" t="s">
        <v>293</v>
      </c>
    </row>
    <row r="4" spans="1:23" x14ac:dyDescent="0.25">
      <c r="B4" s="365" t="s">
        <v>346</v>
      </c>
      <c r="C4" s="363" t="s">
        <v>295</v>
      </c>
      <c r="I4" s="384"/>
      <c r="J4" s="292" t="s">
        <v>266</v>
      </c>
      <c r="K4" s="372">
        <f>'BPC+TB500'!K37</f>
        <v>298</v>
      </c>
      <c r="L4" s="293"/>
      <c r="N4" s="384"/>
      <c r="O4" s="292" t="s">
        <v>266</v>
      </c>
      <c r="P4" s="372">
        <f>'MotsC 10'!K36</f>
        <v>138</v>
      </c>
      <c r="Q4" s="293"/>
      <c r="R4" s="292" t="str">
        <f>'Pep Costs'!A5</f>
        <v>AOD-9604 5mg</v>
      </c>
      <c r="S4" s="339">
        <f>'Pep Costs'!C5</f>
        <v>55</v>
      </c>
      <c r="V4" s="292" t="str">
        <f>'Pep Costs'!A45</f>
        <v>Selank 10mg</v>
      </c>
      <c r="W4" s="339">
        <f>'Pep Costs'!C45</f>
        <v>145</v>
      </c>
    </row>
    <row r="5" spans="1:23" x14ac:dyDescent="0.25">
      <c r="D5" s="363" t="s">
        <v>296</v>
      </c>
      <c r="J5" s="292" t="s">
        <v>268</v>
      </c>
      <c r="K5" s="372">
        <f>'BPC+TB500'!K50</f>
        <v>376</v>
      </c>
      <c r="L5" s="293"/>
      <c r="O5" s="292" t="s">
        <v>268</v>
      </c>
      <c r="P5" s="372">
        <f>'MotsC 10'!K48</f>
        <v>321</v>
      </c>
      <c r="Q5" s="293"/>
      <c r="R5" s="337" t="str">
        <f>'Pep Costs'!A6</f>
        <v>BAC Water 10ml</v>
      </c>
      <c r="S5" s="344">
        <v>5</v>
      </c>
      <c r="V5" s="292" t="str">
        <f>'Pep Costs'!A46</f>
        <v>Semax 10mg</v>
      </c>
      <c r="W5" s="339">
        <f>'Pep Costs'!C46</f>
        <v>145</v>
      </c>
    </row>
    <row r="6" spans="1:23" x14ac:dyDescent="0.25">
      <c r="D6" s="363" t="s">
        <v>297</v>
      </c>
      <c r="J6" s="292" t="s">
        <v>269</v>
      </c>
      <c r="K6" s="372">
        <f>'BPC+TB500'!K62</f>
        <v>376</v>
      </c>
      <c r="L6" s="293"/>
      <c r="O6" s="373" t="s">
        <v>292</v>
      </c>
      <c r="P6" s="372">
        <f>'MotsC 10'!K60</f>
        <v>458</v>
      </c>
      <c r="Q6" s="293"/>
      <c r="R6" s="292" t="str">
        <f>'Pep Costs'!A7</f>
        <v>BB10 5/5</v>
      </c>
      <c r="S6" s="339">
        <f>'Pep Costs'!C7</f>
        <v>165</v>
      </c>
      <c r="V6" s="292" t="str">
        <f>'Pep Costs'!A47</f>
        <v>SS-31 10mg</v>
      </c>
      <c r="W6" s="339">
        <f>'Pep Costs'!C47</f>
        <v>207.75</v>
      </c>
    </row>
    <row r="7" spans="1:23" ht="15.75" x14ac:dyDescent="0.25">
      <c r="J7" s="292" t="s">
        <v>270</v>
      </c>
      <c r="N7" s="648" t="str">
        <f>'NAD+ Acute'!A1</f>
        <v>NAD+ 1000mg (Acute)</v>
      </c>
      <c r="R7" s="292" t="str">
        <f>'Pep Costs'!A8</f>
        <v>BB20</v>
      </c>
      <c r="S7" s="339">
        <f>'Pep Costs'!C8</f>
        <v>185</v>
      </c>
      <c r="V7" s="345" t="str">
        <f>'Pep Costs'!A48</f>
        <v>Sterile Deion Water 10ml</v>
      </c>
      <c r="W7" s="346">
        <f>'Pep Costs'!C48</f>
        <v>115</v>
      </c>
    </row>
    <row r="8" spans="1:23" ht="15.75" x14ac:dyDescent="0.25">
      <c r="B8" s="365" t="s">
        <v>345</v>
      </c>
      <c r="C8" s="339">
        <v>150</v>
      </c>
      <c r="I8" s="648" t="str">
        <f>'Wolv Slow Tit'!A1</f>
        <v>BPC157 + TB500 20mg (Slow Titration)</v>
      </c>
      <c r="N8" s="384"/>
      <c r="O8" s="292" t="s">
        <v>266</v>
      </c>
      <c r="P8" s="372">
        <f>'NAD+ Acute'!K36</f>
        <v>523</v>
      </c>
      <c r="Q8" s="293"/>
      <c r="R8" s="292" t="str">
        <f>'Pep Costs'!A10</f>
        <v>BPC-157 10mg</v>
      </c>
      <c r="S8" s="339">
        <f>'Pep Costs'!C10</f>
        <v>148.48750000000001</v>
      </c>
      <c r="V8" s="292" t="str">
        <f>'Pep Costs'!A50</f>
        <v>TB500 10mg</v>
      </c>
      <c r="W8" s="339">
        <f>'Pep Costs'!C50</f>
        <v>160</v>
      </c>
    </row>
    <row r="9" spans="1:23" x14ac:dyDescent="0.25">
      <c r="C9" s="363" t="s">
        <v>298</v>
      </c>
      <c r="I9" s="384"/>
      <c r="J9" s="292" t="s">
        <v>266</v>
      </c>
      <c r="K9" s="372">
        <f>'Wolv Slow Tit'!K18</f>
        <v>122</v>
      </c>
      <c r="L9" s="293"/>
      <c r="O9" s="292" t="s">
        <v>268</v>
      </c>
      <c r="P9" s="372">
        <f>'NAD+ Acute'!K48</f>
        <v>542</v>
      </c>
      <c r="Q9" s="293"/>
      <c r="R9" s="340" t="str">
        <f>'Pep Costs'!A11</f>
        <v>BPC-157 /TB500 20 mg</v>
      </c>
      <c r="S9" s="341">
        <f>'Pep Costs'!C11</f>
        <v>250</v>
      </c>
      <c r="V9" s="340" t="str">
        <f>'Pep Costs'!A51</f>
        <v>Tesamorelin 10mg</v>
      </c>
      <c r="W9" s="341">
        <f>'Pep Costs'!C51</f>
        <v>175</v>
      </c>
    </row>
    <row r="10" spans="1:23" x14ac:dyDescent="0.25">
      <c r="J10" s="292" t="s">
        <v>268</v>
      </c>
      <c r="K10" s="372">
        <f>'Wolv Slow Tit'!K30</f>
        <v>215</v>
      </c>
      <c r="L10" s="293"/>
      <c r="O10" s="292" t="s">
        <v>269</v>
      </c>
      <c r="P10" s="372">
        <f>'NAD+ Acute'!K60</f>
        <v>542</v>
      </c>
      <c r="Q10" s="293"/>
      <c r="R10" s="292" t="str">
        <f>'Pep Costs'!A12</f>
        <v>BPC-157 20 mg</v>
      </c>
      <c r="S10" s="339">
        <f>'Pep Costs'!C12</f>
        <v>255</v>
      </c>
      <c r="V10" s="292" t="str">
        <f>'Pep Costs'!A52</f>
        <v>Tesofensine</v>
      </c>
      <c r="W10" s="339">
        <f>'Pep Costs'!C52</f>
        <v>225</v>
      </c>
    </row>
    <row r="11" spans="1:23" x14ac:dyDescent="0.25">
      <c r="A11" s="294" t="s">
        <v>347</v>
      </c>
      <c r="J11" s="292" t="s">
        <v>269</v>
      </c>
      <c r="K11" s="372">
        <f>'Wolv Slow Tit'!K42</f>
        <v>215</v>
      </c>
      <c r="L11" s="293"/>
      <c r="O11" s="292" t="s">
        <v>270</v>
      </c>
      <c r="R11" s="292" t="str">
        <f>'Pep Costs'!A13</f>
        <v>Cag 5mg</v>
      </c>
      <c r="S11" s="339">
        <f>'Pep Costs'!C13</f>
        <v>165</v>
      </c>
      <c r="V11" s="292" t="str">
        <f>'Pep Costs'!A53</f>
        <v>Tirz 10mg</v>
      </c>
      <c r="W11" s="339">
        <f>'Pep Costs'!C53</f>
        <v>205</v>
      </c>
    </row>
    <row r="12" spans="1:23" ht="15.75" x14ac:dyDescent="0.25">
      <c r="B12" s="365" t="s">
        <v>340</v>
      </c>
      <c r="C12" s="365" t="s">
        <v>341</v>
      </c>
      <c r="J12" s="377" t="s">
        <v>353</v>
      </c>
      <c r="N12" s="648" t="str">
        <f>'NAD semiAct'!A1</f>
        <v>NAD+ 1000mg (Semi-Acute)</v>
      </c>
      <c r="R12" s="292" t="str">
        <f>'Pep Costs'!A14</f>
        <v>Cag 10mg</v>
      </c>
      <c r="S12" s="339">
        <f>'Pep Costs'!C14</f>
        <v>205</v>
      </c>
      <c r="V12" s="292" t="str">
        <f>'Pep Costs'!A54</f>
        <v>Tirz 15mg</v>
      </c>
      <c r="W12" s="339">
        <f>'Pep Costs'!C54</f>
        <v>245</v>
      </c>
    </row>
    <row r="13" spans="1:23" ht="15.75" x14ac:dyDescent="0.25">
      <c r="C13" s="365" t="s">
        <v>342</v>
      </c>
      <c r="I13" s="648" t="str">
        <f>'Wolv Maintenance'!A1</f>
        <v>BPC157 + TB500 20mg (Maintenance)</v>
      </c>
      <c r="N13" s="384"/>
      <c r="O13" s="292" t="s">
        <v>266</v>
      </c>
      <c r="P13" s="372">
        <f>'NAD semiAct'!K19</f>
        <v>252</v>
      </c>
      <c r="Q13" s="293"/>
      <c r="R13" s="292" t="str">
        <f>'Pep Costs'!A15</f>
        <v>CJC-1295/Ipa 5/5</v>
      </c>
      <c r="S13" s="339">
        <f>'Pep Costs'!C15</f>
        <v>160</v>
      </c>
      <c r="V13" s="340" t="str">
        <f>'Pep Costs'!A55</f>
        <v>Tirz 30mg</v>
      </c>
      <c r="W13" s="341">
        <f>'Pep Costs'!C55</f>
        <v>295</v>
      </c>
    </row>
    <row r="14" spans="1:23" x14ac:dyDescent="0.25">
      <c r="A14" s="296"/>
      <c r="B14" s="296"/>
      <c r="C14" s="296"/>
      <c r="D14" s="296"/>
      <c r="E14" s="296"/>
      <c r="F14" s="296"/>
      <c r="G14" s="296"/>
      <c r="H14" s="296"/>
      <c r="I14" s="384"/>
      <c r="J14" s="292" t="s">
        <v>271</v>
      </c>
      <c r="K14" s="372">
        <f>'Wolv Maintenance'!K18</f>
        <v>150</v>
      </c>
      <c r="L14" s="378" t="s">
        <v>350</v>
      </c>
      <c r="O14" s="292" t="s">
        <v>268</v>
      </c>
      <c r="P14" s="372">
        <f>'NAD semiAct'!K31</f>
        <v>310</v>
      </c>
      <c r="Q14" s="293"/>
      <c r="R14" s="340" t="str">
        <f>'Pep Costs'!A16</f>
        <v>DSIP 5mg</v>
      </c>
      <c r="S14" s="341">
        <f>'Pep Costs'!C16</f>
        <v>137</v>
      </c>
      <c r="V14" s="292" t="str">
        <f>'Pep Costs'!A56</f>
        <v>Tirz 5mg</v>
      </c>
      <c r="W14" s="339">
        <f>'Pep Costs'!C56</f>
        <v>175</v>
      </c>
    </row>
    <row r="15" spans="1:23" ht="15" customHeight="1" x14ac:dyDescent="0.25">
      <c r="I15" s="648" t="str">
        <f>'DSIP 5mg'!A1</f>
        <v>DSIP 5mg</v>
      </c>
      <c r="O15" s="292" t="s">
        <v>269</v>
      </c>
      <c r="P15" s="372">
        <f>'NAD semiAct'!K43</f>
        <v>310</v>
      </c>
      <c r="Q15" s="293"/>
      <c r="R15" s="292" t="str">
        <f>'Pep Costs'!A17</f>
        <v>DSIP 10mg</v>
      </c>
      <c r="S15" s="339">
        <f>'Pep Costs'!C17</f>
        <v>147</v>
      </c>
      <c r="V15" s="292" t="str">
        <f>'Pep Costs'!A57</f>
        <v>Tirz 60mg</v>
      </c>
      <c r="W15" s="339">
        <f>'Pep Costs'!C57</f>
        <v>355</v>
      </c>
    </row>
    <row r="16" spans="1:23" ht="15" customHeight="1" x14ac:dyDescent="0.25">
      <c r="A16" s="647" t="s">
        <v>482</v>
      </c>
      <c r="I16" s="384"/>
      <c r="J16" s="292" t="s">
        <v>266</v>
      </c>
      <c r="K16" s="372">
        <f>'DSIP 5mg'!K35</f>
        <v>153</v>
      </c>
      <c r="L16" s="293"/>
      <c r="O16" s="292" t="s">
        <v>270</v>
      </c>
      <c r="R16" s="292" t="str">
        <f>'Pep Costs'!A18</f>
        <v>Epithalon 5mg</v>
      </c>
      <c r="S16" s="339">
        <f>'Pep Costs'!C18</f>
        <v>137</v>
      </c>
      <c r="V16" s="292" t="str">
        <f>'Pep Costs'!A58</f>
        <v>VIP 10mg</v>
      </c>
      <c r="W16" s="339">
        <f>'Pep Costs'!C58</f>
        <v>155</v>
      </c>
    </row>
    <row r="17" spans="1:23" ht="15.75" x14ac:dyDescent="0.25">
      <c r="B17" s="658" t="s">
        <v>484</v>
      </c>
      <c r="C17" s="657"/>
      <c r="D17" s="657"/>
      <c r="E17" s="657"/>
      <c r="F17" s="657"/>
      <c r="G17" s="657"/>
      <c r="H17" s="657"/>
      <c r="J17" s="292" t="s">
        <v>268</v>
      </c>
      <c r="K17" s="372">
        <f>'DSIP 5mg'!K47</f>
        <v>251</v>
      </c>
      <c r="L17" s="293"/>
      <c r="N17" s="648" t="str">
        <f>'PT-141 10mg'!A1</f>
        <v>PT-141 10mg</v>
      </c>
      <c r="R17" s="292" t="str">
        <f>'Pep Costs'!A19</f>
        <v>Epithalon 10mg</v>
      </c>
      <c r="S17" s="339">
        <f>'Pep Costs'!C19</f>
        <v>145</v>
      </c>
      <c r="V17" s="342" t="str">
        <f>'Pep Costs'!A59</f>
        <v>Tablets/Caps</v>
      </c>
      <c r="W17" s="343"/>
    </row>
    <row r="18" spans="1:23" x14ac:dyDescent="0.25">
      <c r="B18" s="657"/>
      <c r="C18" s="657"/>
      <c r="D18" s="657"/>
      <c r="E18" s="657"/>
      <c r="F18" s="657"/>
      <c r="G18" s="657"/>
      <c r="H18" s="657"/>
      <c r="J18" s="292" t="s">
        <v>269</v>
      </c>
      <c r="K18" s="372">
        <f>'DSIP 5mg'!K65</f>
        <v>285</v>
      </c>
      <c r="L18" s="293"/>
      <c r="O18" s="292" t="s">
        <v>277</v>
      </c>
      <c r="P18" s="301" t="s">
        <v>278</v>
      </c>
      <c r="Q18" s="293"/>
      <c r="R18" s="292" t="str">
        <f>'Pep Costs'!A20</f>
        <v>Epithalon 50mg</v>
      </c>
      <c r="S18" s="339">
        <f>'Pep Costs'!C20</f>
        <v>175.42500000000001</v>
      </c>
      <c r="V18" s="292" t="str">
        <f>'Pep Costs'!A60</f>
        <v>5 Amino 1q 50mg</v>
      </c>
      <c r="W18" s="339">
        <f>'Pep Costs'!C60</f>
        <v>170.03749999999999</v>
      </c>
    </row>
    <row r="19" spans="1:23" ht="15" customHeight="1" x14ac:dyDescent="0.25">
      <c r="B19" s="657"/>
      <c r="C19" s="657"/>
      <c r="D19" s="657"/>
      <c r="E19" s="657"/>
      <c r="F19" s="657"/>
      <c r="G19" s="657"/>
      <c r="H19" s="657"/>
      <c r="J19" s="292" t="s">
        <v>270</v>
      </c>
      <c r="O19" s="292" t="s">
        <v>106</v>
      </c>
      <c r="P19" s="301" t="s">
        <v>279</v>
      </c>
      <c r="Q19" s="293"/>
      <c r="R19" s="340" t="str">
        <f>'Pep Costs'!A21</f>
        <v>GHK-CU 50mg</v>
      </c>
      <c r="S19" s="341">
        <f>'Pep Costs'!C21</f>
        <v>145</v>
      </c>
      <c r="V19" s="292" t="str">
        <f>'Pep Costs'!A61</f>
        <v>BPC 500mcg</v>
      </c>
      <c r="W19" s="339">
        <f>'Pep Costs'!C61</f>
        <v>214</v>
      </c>
    </row>
    <row r="20" spans="1:23" ht="15" customHeight="1" x14ac:dyDescent="0.25">
      <c r="A20" s="659" t="s">
        <v>483</v>
      </c>
      <c r="B20" s="657"/>
      <c r="C20" s="657"/>
      <c r="D20" s="657"/>
      <c r="E20" s="657"/>
      <c r="F20" s="657"/>
      <c r="G20" s="657"/>
      <c r="H20" s="657"/>
      <c r="I20" s="648" t="str">
        <f>'DSIP 10mg'!A1</f>
        <v>DSIP 10mg</v>
      </c>
      <c r="O20" s="292" t="s">
        <v>195</v>
      </c>
      <c r="P20" s="301" t="s">
        <v>280</v>
      </c>
      <c r="Q20" s="293"/>
      <c r="R20" s="292" t="str">
        <f>'Pep Costs'!A22</f>
        <v>GHK-CU 100mg</v>
      </c>
      <c r="S20" s="339">
        <f>'Pep Costs'!C22</f>
        <v>165</v>
      </c>
      <c r="V20" s="292" t="str">
        <f>'Pep Costs'!A62</f>
        <v>Methaline Blue 20mg</v>
      </c>
      <c r="W20" s="339">
        <f>'Pep Costs'!C62</f>
        <v>185</v>
      </c>
    </row>
    <row r="21" spans="1:23" ht="15" customHeight="1" x14ac:dyDescent="0.25">
      <c r="A21" s="657"/>
      <c r="B21" s="657"/>
      <c r="C21" s="657"/>
      <c r="D21" s="657"/>
      <c r="E21" s="657"/>
      <c r="F21" s="657"/>
      <c r="G21" s="657"/>
      <c r="H21" s="657"/>
      <c r="I21" s="384"/>
      <c r="J21" s="292" t="s">
        <v>266</v>
      </c>
      <c r="K21" s="372">
        <f>'DSIP 10mg'!K34</f>
        <v>85</v>
      </c>
      <c r="L21" s="293"/>
      <c r="N21" s="648" t="str">
        <f>'Tesam 10'!A1</f>
        <v>Tesamorelin 10mg</v>
      </c>
      <c r="R21" s="340" t="str">
        <f>'Pep Costs'!A23</f>
        <v>GLOW 50mg</v>
      </c>
      <c r="S21" s="341">
        <f>'Pep Costs'!C23</f>
        <v>165</v>
      </c>
      <c r="V21" s="292" t="str">
        <f>'Pep Costs'!A63</f>
        <v>Tesofensine 500mcg (1tab daily)</v>
      </c>
      <c r="W21" s="339">
        <f>'Pep Costs'!C63</f>
        <v>165</v>
      </c>
    </row>
    <row r="22" spans="1:23" ht="15" customHeight="1" x14ac:dyDescent="0.25">
      <c r="J22" s="292" t="s">
        <v>268</v>
      </c>
      <c r="K22" s="372">
        <f>'DSIP 10mg'!K46</f>
        <v>139</v>
      </c>
      <c r="L22" s="293"/>
      <c r="N22" s="384"/>
      <c r="O22" s="292" t="s">
        <v>266</v>
      </c>
      <c r="P22" s="372">
        <f>'Tesam 10'!K33</f>
        <v>560</v>
      </c>
      <c r="Q22" s="374"/>
      <c r="R22" s="292" t="str">
        <f>'Pep Costs'!A24</f>
        <v>GLOW 70mg</v>
      </c>
      <c r="S22" s="339">
        <f>'Pep Costs'!C24</f>
        <v>205</v>
      </c>
      <c r="V22" s="292" t="str">
        <f>'Pep Costs'!A64</f>
        <v>Semaglutide 10mg</v>
      </c>
      <c r="W22" s="339">
        <f>'Pep Costs'!C64</f>
        <v>185</v>
      </c>
    </row>
    <row r="23" spans="1:23" x14ac:dyDescent="0.25">
      <c r="A23" s="296"/>
      <c r="B23" s="296"/>
      <c r="C23" s="296"/>
      <c r="D23" s="296"/>
      <c r="E23" s="296"/>
      <c r="F23" s="296"/>
      <c r="G23" s="296"/>
      <c r="H23" s="296"/>
      <c r="J23" s="292" t="s">
        <v>269</v>
      </c>
      <c r="K23" s="372">
        <f>'DSIP 10mg'!K46</f>
        <v>139</v>
      </c>
      <c r="L23" s="293"/>
      <c r="O23" s="292" t="s">
        <v>268</v>
      </c>
      <c r="P23" s="372">
        <f>'Tesam 10'!K45</f>
        <v>747</v>
      </c>
      <c r="Q23" s="374"/>
      <c r="R23" s="292" t="str">
        <f>'Pep Costs'!A25</f>
        <v>Glutathione 600mg</v>
      </c>
      <c r="S23" s="339">
        <f>'Pep Costs'!C25</f>
        <v>145</v>
      </c>
      <c r="V23" s="292" t="str">
        <f>'Pep Costs'!A65</f>
        <v>GHK-CU 100mg</v>
      </c>
      <c r="W23" s="339">
        <f>'Pep Costs'!C65</f>
        <v>165</v>
      </c>
    </row>
    <row r="24" spans="1:23" ht="15" customHeight="1" x14ac:dyDescent="0.25">
      <c r="H24" s="652" t="s">
        <v>485</v>
      </c>
      <c r="J24" s="292" t="s">
        <v>270</v>
      </c>
      <c r="O24" s="292" t="s">
        <v>269</v>
      </c>
      <c r="P24" s="372">
        <f>'Tesam 10'!K45</f>
        <v>747</v>
      </c>
      <c r="Q24" s="374"/>
      <c r="R24" s="292" t="str">
        <f>'Pep Costs'!A26</f>
        <v>HCG 5000IU</v>
      </c>
      <c r="S24" s="339">
        <f>'Pep Costs'!C26</f>
        <v>145</v>
      </c>
      <c r="V24" s="292" t="str">
        <f>'Pep Costs'!A66</f>
        <v>BPC-157 10mg</v>
      </c>
      <c r="W24" s="339">
        <f>'Pep Costs'!C66</f>
        <v>155</v>
      </c>
    </row>
    <row r="25" spans="1:23" ht="15" customHeight="1" x14ac:dyDescent="0.25">
      <c r="A25" s="651" t="s">
        <v>486</v>
      </c>
      <c r="I25" s="648" t="str">
        <f>'GHK-CU 50'!A1</f>
        <v>GHK-CU 50mg</v>
      </c>
      <c r="O25" s="292" t="s">
        <v>270</v>
      </c>
      <c r="R25" s="292" t="str">
        <f>'Pep Costs'!A27</f>
        <v>Hexarelin 10 mg</v>
      </c>
      <c r="S25" s="339">
        <f>'Pep Costs'!C27</f>
        <v>170</v>
      </c>
      <c r="V25" s="292" t="str">
        <f>'Pep Costs'!A67</f>
        <v>SLU PP 332(500mcg)x100</v>
      </c>
      <c r="W25" s="339">
        <f>'Pep Costs'!C67</f>
        <v>170</v>
      </c>
    </row>
    <row r="26" spans="1:23" ht="15.75" x14ac:dyDescent="0.25">
      <c r="I26" s="384"/>
      <c r="J26" s="292" t="s">
        <v>266</v>
      </c>
      <c r="K26" s="372">
        <f>'GHK-CU 50'!K34</f>
        <v>92</v>
      </c>
      <c r="L26" s="293"/>
      <c r="N26" s="575" t="s">
        <v>495</v>
      </c>
      <c r="P26" s="292"/>
      <c r="R26" s="292" t="str">
        <f>'Pep Costs'!A28</f>
        <v>HGH 15IU</v>
      </c>
      <c r="S26" s="339">
        <f>'Pep Costs'!C28</f>
        <v>165</v>
      </c>
      <c r="V26" s="292" t="str">
        <f>'Pep Costs'!A68</f>
        <v>SLUP PP 332(1mg) x100</v>
      </c>
      <c r="W26" s="339">
        <f>'Pep Costs'!C68</f>
        <v>190</v>
      </c>
    </row>
    <row r="27" spans="1:23" x14ac:dyDescent="0.25">
      <c r="A27" s="650" t="s">
        <v>487</v>
      </c>
      <c r="J27" s="292" t="s">
        <v>268</v>
      </c>
      <c r="K27" s="372">
        <f>'GHK-CU 50'!K46</f>
        <v>138</v>
      </c>
      <c r="L27" s="293"/>
      <c r="N27" s="384"/>
      <c r="O27" s="377" t="s">
        <v>281</v>
      </c>
      <c r="P27" s="292"/>
      <c r="R27" s="292" t="str">
        <f>'Pep Costs'!A29</f>
        <v>HGH 24IU</v>
      </c>
      <c r="S27" s="339">
        <f>'Pep Costs'!C29</f>
        <v>177</v>
      </c>
      <c r="V27" s="292" t="str">
        <f>'Pep Costs'!A69</f>
        <v>Slu PP 332(5mg)x100</v>
      </c>
      <c r="W27" s="339">
        <f>'Pep Costs'!C69</f>
        <v>210</v>
      </c>
    </row>
    <row r="28" spans="1:23" x14ac:dyDescent="0.25">
      <c r="J28" s="292" t="s">
        <v>269</v>
      </c>
      <c r="K28" s="372">
        <f>'GHK-CU 50'!K58</f>
        <v>183</v>
      </c>
      <c r="L28" s="293"/>
      <c r="O28" s="377"/>
      <c r="P28" s="292"/>
      <c r="R28" s="292" t="str">
        <f>'Pep Costs'!A30</f>
        <v>HGH 36IU</v>
      </c>
      <c r="S28" s="339">
        <f>'Pep Costs'!C30</f>
        <v>190</v>
      </c>
      <c r="V28" s="342" t="str">
        <f>'Pep Costs'!A70</f>
        <v>Nasal Sprays</v>
      </c>
      <c r="W28" s="343"/>
    </row>
    <row r="29" spans="1:23" ht="15" customHeight="1" x14ac:dyDescent="0.25">
      <c r="A29" s="650" t="s">
        <v>491</v>
      </c>
      <c r="J29" s="292" t="s">
        <v>270</v>
      </c>
      <c r="N29" s="648" t="str">
        <f>'Tirz 30mg'!A1</f>
        <v>Tirzepatide 30mg</v>
      </c>
      <c r="P29" s="292"/>
      <c r="R29" s="340" t="str">
        <f>'Pep Costs'!A31</f>
        <v>Kisspep 10mg</v>
      </c>
      <c r="S29" s="341">
        <f>'Pep Costs'!C31</f>
        <v>150</v>
      </c>
      <c r="V29" s="292" t="str">
        <f>'Pep Costs'!A71</f>
        <v xml:space="preserve">DSIP </v>
      </c>
      <c r="W29" s="339">
        <f>'Pep Costs'!C71</f>
        <v>170</v>
      </c>
    </row>
    <row r="30" spans="1:23" ht="15.75" customHeight="1" x14ac:dyDescent="0.25">
      <c r="I30" s="648" t="str">
        <f>'Glow 70'!A1</f>
        <v>GLOW 70</v>
      </c>
      <c r="J30" s="375" t="s">
        <v>266</v>
      </c>
      <c r="K30" s="372">
        <f>'Glow 70'!K36</f>
        <v>209</v>
      </c>
      <c r="L30" s="293"/>
      <c r="N30" s="292"/>
      <c r="O30" s="377" t="s">
        <v>281</v>
      </c>
      <c r="P30" s="292"/>
      <c r="R30" s="340" t="str">
        <f>'Pep Costs'!A32</f>
        <v>KLOW 80mg</v>
      </c>
      <c r="S30" s="341">
        <f>'Pep Costs'!C32</f>
        <v>225</v>
      </c>
      <c r="V30" s="292" t="str">
        <f>'Pep Costs'!A72</f>
        <v>Selank Nasal</v>
      </c>
      <c r="W30" s="339">
        <f>'Pep Costs'!C72</f>
        <v>175</v>
      </c>
    </row>
    <row r="31" spans="1:23" ht="15" customHeight="1" x14ac:dyDescent="0.25">
      <c r="A31" s="658" t="s">
        <v>488</v>
      </c>
      <c r="B31" s="658"/>
      <c r="C31" s="658"/>
      <c r="D31" s="658"/>
      <c r="E31" s="658"/>
      <c r="F31" s="658"/>
      <c r="G31" s="658"/>
      <c r="H31" s="658"/>
      <c r="I31" s="384"/>
      <c r="J31" s="292" t="s">
        <v>272</v>
      </c>
      <c r="N31" s="292"/>
      <c r="O31" s="377"/>
      <c r="R31" s="292" t="str">
        <f>'Pep Costs'!A33</f>
        <v>Lipo-C w/ B12</v>
      </c>
      <c r="S31" s="339">
        <f>'Pep Costs'!C33</f>
        <v>155</v>
      </c>
      <c r="V31" s="292" t="str">
        <f>'Pep Costs'!A73</f>
        <v>Semax Nasal</v>
      </c>
      <c r="W31" s="339">
        <f>'Pep Costs'!C73</f>
        <v>175</v>
      </c>
    </row>
    <row r="32" spans="1:23" ht="15.75" customHeight="1" x14ac:dyDescent="0.25">
      <c r="A32" s="658"/>
      <c r="B32" s="658"/>
      <c r="C32" s="658"/>
      <c r="D32" s="658"/>
      <c r="E32" s="658"/>
      <c r="F32" s="658"/>
      <c r="G32" s="658"/>
      <c r="H32" s="658"/>
      <c r="I32" s="648" t="str">
        <f>Kissp!A1</f>
        <v>Kisspeptine 10mg</v>
      </c>
      <c r="N32" s="292"/>
      <c r="R32" s="292" t="str">
        <f>'Pep Costs'!A34</f>
        <v>Melatonin-11</v>
      </c>
      <c r="S32" s="339">
        <f>'Pep Costs'!C34</f>
        <v>145</v>
      </c>
      <c r="V32" s="292" t="str">
        <f>'Pep Costs'!A74</f>
        <v>Oxytocin Nasal</v>
      </c>
      <c r="W32" s="339">
        <f>'Pep Costs'!C74</f>
        <v>86.25</v>
      </c>
    </row>
    <row r="33" spans="1:24" ht="15" customHeight="1" x14ac:dyDescent="0.25">
      <c r="I33" s="384"/>
      <c r="J33" s="292" t="s">
        <v>266</v>
      </c>
      <c r="K33" s="372">
        <f>Kissp!K33</f>
        <v>71</v>
      </c>
      <c r="L33" s="293"/>
      <c r="N33" s="292"/>
      <c r="R33" s="340" t="str">
        <f>'Pep Costs'!A35</f>
        <v>Mots-C 10mg</v>
      </c>
      <c r="S33" s="341">
        <f>'Pep Costs'!C35</f>
        <v>159.26249999999999</v>
      </c>
    </row>
    <row r="34" spans="1:24" ht="15" customHeight="1" x14ac:dyDescent="0.25">
      <c r="A34" s="658" t="s">
        <v>492</v>
      </c>
      <c r="B34" s="658"/>
      <c r="C34" s="658"/>
      <c r="D34" s="658"/>
      <c r="E34" s="658"/>
      <c r="F34" s="658"/>
      <c r="G34" s="658"/>
      <c r="H34" s="658"/>
      <c r="J34" s="292" t="s">
        <v>268</v>
      </c>
      <c r="K34" s="372">
        <f>Kissp!K45</f>
        <v>95</v>
      </c>
      <c r="L34" s="293"/>
      <c r="N34" s="292"/>
      <c r="O34" s="377"/>
      <c r="R34" s="292" t="str">
        <f>'Pep Costs'!A36</f>
        <v>MT 2 10mg</v>
      </c>
      <c r="S34" s="339">
        <f>'Pep Costs'!C36</f>
        <v>145</v>
      </c>
    </row>
    <row r="35" spans="1:24" x14ac:dyDescent="0.25">
      <c r="A35" s="658"/>
      <c r="B35" s="658"/>
      <c r="C35" s="658"/>
      <c r="D35" s="658"/>
      <c r="E35" s="658"/>
      <c r="F35" s="658"/>
      <c r="G35" s="658"/>
      <c r="H35" s="658"/>
      <c r="J35" s="292" t="s">
        <v>269</v>
      </c>
      <c r="K35" s="372">
        <f>Kissp!K57</f>
        <v>95</v>
      </c>
      <c r="L35" s="293"/>
      <c r="N35" s="292"/>
      <c r="O35" s="377"/>
      <c r="P35" s="292"/>
      <c r="Q35" s="364"/>
      <c r="R35" s="340" t="str">
        <f>'Pep Costs'!A37</f>
        <v>NAD+ 1000mg</v>
      </c>
      <c r="S35" s="341">
        <f>'Pep Costs'!C37</f>
        <v>175</v>
      </c>
    </row>
    <row r="36" spans="1:24" ht="15" customHeight="1" x14ac:dyDescent="0.25">
      <c r="A36" s="649"/>
      <c r="B36" s="649"/>
      <c r="C36" s="649"/>
      <c r="D36" s="649"/>
      <c r="E36" s="649"/>
      <c r="F36" s="649"/>
      <c r="G36" s="649"/>
      <c r="H36" s="649"/>
      <c r="J36" s="292" t="s">
        <v>270</v>
      </c>
      <c r="P36" s="292"/>
      <c r="R36" s="292" t="str">
        <f>'Pep Costs'!A38</f>
        <v>NAD+ 500mg</v>
      </c>
      <c r="S36" s="339">
        <f>'Pep Costs'!C38</f>
        <v>155</v>
      </c>
    </row>
    <row r="37" spans="1:24" ht="15.75" x14ac:dyDescent="0.25">
      <c r="A37" s="658" t="s">
        <v>489</v>
      </c>
      <c r="B37" s="658"/>
      <c r="C37" s="658"/>
      <c r="D37" s="658"/>
      <c r="E37" s="658"/>
      <c r="F37" s="658"/>
      <c r="G37" s="658"/>
      <c r="H37" s="658"/>
      <c r="I37" s="648" t="str">
        <f>'KLOW 80'!A1</f>
        <v>KLOW 80mg</v>
      </c>
      <c r="P37" s="292"/>
      <c r="R37" s="292" t="str">
        <f>'Pep Costs'!A40</f>
        <v>Oxytocin 5mg</v>
      </c>
      <c r="S37" s="339">
        <f>'Pep Costs'!C40</f>
        <v>145</v>
      </c>
      <c r="V37" s="292" t="s">
        <v>179</v>
      </c>
      <c r="W37" s="339">
        <v>60</v>
      </c>
    </row>
    <row r="38" spans="1:24" x14ac:dyDescent="0.25">
      <c r="A38" s="658"/>
      <c r="B38" s="658"/>
      <c r="C38" s="658"/>
      <c r="D38" s="658"/>
      <c r="E38" s="658"/>
      <c r="F38" s="658"/>
      <c r="G38" s="658"/>
      <c r="H38" s="658"/>
      <c r="I38" s="384"/>
      <c r="J38" s="292" t="s">
        <v>266</v>
      </c>
      <c r="K38" s="372">
        <f>'KLOW 80'!K33</f>
        <v>250</v>
      </c>
      <c r="L38" s="293"/>
      <c r="P38" s="292"/>
      <c r="R38" s="340" t="str">
        <f>'Pep Costs'!A41</f>
        <v>PT141 10 mg</v>
      </c>
      <c r="S38" s="341">
        <f>'Pep Costs'!C41</f>
        <v>155</v>
      </c>
      <c r="V38" s="292" t="s">
        <v>287</v>
      </c>
      <c r="W38" s="339">
        <v>10</v>
      </c>
    </row>
    <row r="39" spans="1:24" ht="15" customHeight="1" x14ac:dyDescent="0.25">
      <c r="A39" s="586"/>
      <c r="J39" s="292" t="s">
        <v>268</v>
      </c>
      <c r="K39" s="372">
        <f>'KLOW 80'!K45</f>
        <v>500</v>
      </c>
      <c r="L39" s="293"/>
      <c r="O39" s="376" t="s">
        <v>179</v>
      </c>
      <c r="P39" s="292"/>
      <c r="Q39" s="364">
        <v>85</v>
      </c>
      <c r="R39" s="345" t="str">
        <f>'Pep Costs'!A42</f>
        <v>Reta 10mg</v>
      </c>
      <c r="S39" s="346">
        <f>'Pep Costs'!C42</f>
        <v>200</v>
      </c>
      <c r="V39" s="292" t="s">
        <v>288</v>
      </c>
      <c r="W39" s="339">
        <v>15</v>
      </c>
    </row>
    <row r="40" spans="1:24" ht="15" customHeight="1" x14ac:dyDescent="0.25">
      <c r="A40" s="658" t="s">
        <v>493</v>
      </c>
      <c r="B40" s="658"/>
      <c r="C40" s="658"/>
      <c r="D40" s="658"/>
      <c r="E40" s="658"/>
      <c r="F40" s="658"/>
      <c r="G40" s="658"/>
      <c r="H40" s="658"/>
      <c r="J40" s="292" t="s">
        <v>269</v>
      </c>
      <c r="K40" s="372">
        <f>'KLOW 80'!K57</f>
        <v>341</v>
      </c>
      <c r="L40" s="293"/>
      <c r="O40" s="365" t="s">
        <v>343</v>
      </c>
      <c r="P40" s="292"/>
      <c r="Q40" s="364">
        <v>10</v>
      </c>
      <c r="R40" s="340" t="str">
        <f>'Pep Costs'!A43</f>
        <v>Reta 20mg</v>
      </c>
      <c r="S40" s="366">
        <v>350</v>
      </c>
      <c r="V40" s="363" t="s">
        <v>299</v>
      </c>
      <c r="W40" s="339">
        <v>1</v>
      </c>
      <c r="X40" s="364"/>
    </row>
    <row r="41" spans="1:24" x14ac:dyDescent="0.25">
      <c r="A41" s="658"/>
      <c r="B41" s="658"/>
      <c r="C41" s="658"/>
      <c r="D41" s="658"/>
      <c r="E41" s="658"/>
      <c r="F41" s="658"/>
      <c r="G41" s="658"/>
      <c r="H41" s="658"/>
      <c r="J41" s="292" t="s">
        <v>270</v>
      </c>
      <c r="O41" s="365" t="s">
        <v>344</v>
      </c>
      <c r="P41" s="292"/>
      <c r="Q41" s="364">
        <v>15</v>
      </c>
      <c r="R41" s="345" t="str">
        <f>'Pep Costs'!A44</f>
        <v>Reta 30mg</v>
      </c>
      <c r="S41" s="346">
        <f>'Pep Costs'!C44</f>
        <v>270</v>
      </c>
      <c r="W41" s="339"/>
    </row>
    <row r="42" spans="1:24" x14ac:dyDescent="0.25">
      <c r="A42" s="586"/>
      <c r="B42" s="586"/>
      <c r="C42" s="586"/>
      <c r="D42" s="586"/>
      <c r="E42" s="586"/>
      <c r="F42" s="586"/>
      <c r="G42" s="586"/>
      <c r="H42" s="586"/>
      <c r="O42" s="363" t="s">
        <v>299</v>
      </c>
      <c r="P42" s="292"/>
      <c r="Q42" s="364">
        <v>1</v>
      </c>
    </row>
    <row r="43" spans="1:24" ht="15.75" x14ac:dyDescent="0.25">
      <c r="A43" s="650" t="s">
        <v>490</v>
      </c>
      <c r="B43"/>
      <c r="C43"/>
      <c r="D43"/>
      <c r="E43"/>
      <c r="F43"/>
      <c r="G43"/>
      <c r="H43"/>
    </row>
    <row r="44" spans="1:24" ht="15.75" x14ac:dyDescent="0.25">
      <c r="B44"/>
      <c r="C44"/>
      <c r="D44"/>
      <c r="E44"/>
      <c r="F44"/>
      <c r="G44"/>
      <c r="H44"/>
    </row>
    <row r="45" spans="1:24" ht="15.75" x14ac:dyDescent="0.25">
      <c r="A45"/>
      <c r="B45"/>
      <c r="C45"/>
      <c r="D45"/>
      <c r="E45"/>
      <c r="F45"/>
      <c r="G45"/>
      <c r="H45"/>
    </row>
    <row r="46" spans="1:24" x14ac:dyDescent="0.25">
      <c r="B46" s="363"/>
    </row>
    <row r="47" spans="1:24" ht="15.75" x14ac:dyDescent="0.25">
      <c r="A47" s="586"/>
      <c r="B47"/>
      <c r="C47"/>
      <c r="D47"/>
      <c r="E47"/>
      <c r="F47"/>
      <c r="G47"/>
      <c r="H47"/>
    </row>
    <row r="48" spans="1:24" ht="15.75" x14ac:dyDescent="0.25">
      <c r="A48"/>
      <c r="B48"/>
      <c r="C48"/>
      <c r="D48"/>
      <c r="E48"/>
      <c r="F48"/>
      <c r="G48"/>
      <c r="H48"/>
    </row>
    <row r="49" spans="2:13" x14ac:dyDescent="0.25">
      <c r="B49" s="363"/>
    </row>
    <row r="50" spans="2:13" ht="15.75" x14ac:dyDescent="0.25">
      <c r="B50" s="365"/>
      <c r="C50"/>
      <c r="D50"/>
      <c r="E50"/>
      <c r="F50"/>
      <c r="G50"/>
      <c r="H50"/>
    </row>
    <row r="51" spans="2:13" ht="15.75" x14ac:dyDescent="0.25">
      <c r="B51"/>
      <c r="C51"/>
      <c r="D51"/>
      <c r="E51"/>
      <c r="F51"/>
      <c r="G51"/>
      <c r="H51"/>
    </row>
    <row r="52" spans="2:13" ht="15.75" x14ac:dyDescent="0.25">
      <c r="B52"/>
      <c r="C52"/>
      <c r="D52"/>
      <c r="E52"/>
      <c r="F52"/>
      <c r="G52"/>
      <c r="H52"/>
    </row>
    <row r="53" spans="2:13" ht="15.75" x14ac:dyDescent="0.25">
      <c r="B53"/>
      <c r="C53"/>
      <c r="D53"/>
      <c r="E53"/>
      <c r="F53"/>
      <c r="G53"/>
      <c r="H53"/>
    </row>
    <row r="54" spans="2:13" ht="15.75" x14ac:dyDescent="0.25">
      <c r="B54"/>
      <c r="C54"/>
      <c r="D54"/>
      <c r="E54"/>
      <c r="F54"/>
      <c r="G54"/>
      <c r="H54"/>
    </row>
    <row r="55" spans="2:13" ht="15.75" x14ac:dyDescent="0.25">
      <c r="B55"/>
      <c r="C55"/>
      <c r="D55"/>
      <c r="E55"/>
      <c r="F55"/>
      <c r="G55"/>
      <c r="H55"/>
    </row>
    <row r="56" spans="2:13" ht="15.75" x14ac:dyDescent="0.25">
      <c r="B56"/>
      <c r="C56"/>
      <c r="D56"/>
      <c r="E56"/>
      <c r="F56"/>
      <c r="G56"/>
      <c r="H56"/>
    </row>
    <row r="57" spans="2:13" ht="15.75" x14ac:dyDescent="0.25">
      <c r="B57"/>
      <c r="C57"/>
      <c r="D57"/>
      <c r="E57"/>
      <c r="F57"/>
      <c r="G57"/>
      <c r="H57"/>
      <c r="M57" s="293"/>
    </row>
    <row r="58" spans="2:13" ht="15.75" x14ac:dyDescent="0.25">
      <c r="B58"/>
      <c r="C58"/>
      <c r="D58"/>
      <c r="E58"/>
      <c r="F58"/>
      <c r="G58"/>
      <c r="H58"/>
      <c r="M58" s="293"/>
    </row>
    <row r="59" spans="2:13" ht="15.75" x14ac:dyDescent="0.25">
      <c r="B59"/>
      <c r="C59"/>
      <c r="D59"/>
      <c r="E59"/>
      <c r="F59"/>
      <c r="G59"/>
      <c r="H59"/>
      <c r="M59" s="293"/>
    </row>
    <row r="60" spans="2:13" ht="15.75" x14ac:dyDescent="0.25">
      <c r="B60"/>
      <c r="C60"/>
      <c r="D60"/>
      <c r="E60"/>
      <c r="F60"/>
      <c r="G60"/>
      <c r="H60"/>
    </row>
  </sheetData>
  <mergeCells count="6">
    <mergeCell ref="A40:H41"/>
    <mergeCell ref="A37:H38"/>
    <mergeCell ref="A20:H21"/>
    <mergeCell ref="B17:H19"/>
    <mergeCell ref="A31:H32"/>
    <mergeCell ref="A34:H35"/>
  </mergeCells>
  <hyperlinks>
    <hyperlink ref="I3" location="'BPC+TB500'!Print_Area" display="'BPC+TB500'!Print_Area" xr:uid="{80F0F763-2DCF-4A28-8AD5-F6FF76B33930}"/>
    <hyperlink ref="I8" location="'Wolv Slow Tit'!Print_Area" display="'Wolv Slow Tit'!Print_Area" xr:uid="{5A1B421E-96E3-41F2-9304-962CEC215AAE}"/>
    <hyperlink ref="I13" location="'Wolv Maintenance'!Print_Area" display="'Wolv Maintenance'!Print_Area" xr:uid="{AC5A59A4-7EC8-4F73-AA81-F8CB8AB8E6D9}"/>
    <hyperlink ref="I15" location="'DSIP 5mg'!Print_Area" display="'DSIP 5mg'!Print_Area" xr:uid="{24787E8A-B505-4138-8688-864204B98C19}"/>
    <hyperlink ref="I20" location="'DSIP 10mg'!Print_Area" display="'DSIP 10mg'!Print_Area" xr:uid="{098FF00C-FA65-43FF-B8D8-F1C22E324B2E}"/>
    <hyperlink ref="I25" location="'GHK-CU 50'!Print_Area" display="'GHK-CU 50'!Print_Area" xr:uid="{8949B47F-A43E-4D9B-ABA0-DC6569AD699D}"/>
    <hyperlink ref="I30" location="'Glow 70'!Print_Area" display="'Glow 70'!Print_Area" xr:uid="{2610342F-2389-4E79-865F-3C0809F88158}"/>
    <hyperlink ref="I32" location="Kissp!Print_Area" display="Kissp!Print_Area" xr:uid="{E1E7D9B3-247C-4B37-AA23-1C39B7AC7C6A}"/>
    <hyperlink ref="I37" location="'KLOW 80'!Print_Area" display="'KLOW 80'!Print_Area" xr:uid="{A8D66FAF-1918-444F-8502-151F09F85A37}"/>
    <hyperlink ref="N3" location="'MotsC 10'!Print_Area" display="MOTS-C 10mg" xr:uid="{66E02539-7D73-407A-BCDF-7B8F3967CCD9}"/>
    <hyperlink ref="N7" location="'NAD+ Acute'!Print_Area" display="'NAD+ Acute'!Print_Area" xr:uid="{511FCA58-D7F5-4831-B7A4-B3506BC1510F}"/>
    <hyperlink ref="N12" location="'NAD semiAct'!Print_Area" display="'NAD semiAct'!Print_Area" xr:uid="{D8CC37E2-FDE7-4748-896C-8A61CEA96C92}"/>
    <hyperlink ref="N17" location="'PT-141 10mg'!Print_Area" display="'PT-141 10mg'!Print_Area" xr:uid="{E7C43CF2-5623-4EDD-9D5F-1A7243CA4B26}"/>
    <hyperlink ref="N21" location="'Tesam 10'!Print_Area" display="'Tesam 10'!Print_Area" xr:uid="{0B838E68-DCD2-4AD0-9379-227D7211DF4E}"/>
    <hyperlink ref="N29" location="'Tirz 30mg'!Print_Area" display="'Tirz 30mg'!Print_Area" xr:uid="{7BBAB738-6AA8-4387-9CD0-C5665653B928}"/>
  </hyperlinks>
  <pageMargins left="0.7" right="0.7" top="0.75" bottom="0.75" header="0.3" footer="0.3"/>
  <pageSetup orientation="portrait" r:id="rId1"/>
  <headerFooter>
    <oddHeader xml:space="preserve">&amp;C&amp;"Aptos Display,Bold"&amp;24&amp;UPeptides&amp;R4/26/26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A5B3E-F8DB-D243-A032-F636D5D01312}">
  <sheetPr codeName="Sheet2">
    <pageSetUpPr fitToPage="1"/>
  </sheetPr>
  <dimension ref="A1:O89"/>
  <sheetViews>
    <sheetView zoomScale="80" zoomScaleNormal="80" workbookViewId="0">
      <pane xSplit="9" ySplit="4" topLeftCell="J20" activePane="bottomRight" state="frozen"/>
      <selection pane="topRight" activeCell="M1" sqref="M1"/>
      <selection pane="bottomLeft" activeCell="A5" sqref="A5"/>
      <selection pane="bottomRight" activeCell="B32" sqref="B32"/>
    </sheetView>
  </sheetViews>
  <sheetFormatPr defaultColWidth="11.25" defaultRowHeight="20.25" customHeight="1" x14ac:dyDescent="0.25"/>
  <cols>
    <col min="1" max="1" width="24.5" style="48" customWidth="1"/>
    <col min="2" max="3" width="10.625" style="1" customWidth="1"/>
    <col min="4" max="5" width="17.75" style="1" customWidth="1"/>
    <col min="6" max="6" width="10" style="1" customWidth="1"/>
    <col min="7" max="7" width="19.25" customWidth="1"/>
    <col min="8" max="8" width="30.5" customWidth="1"/>
    <col min="9" max="10" width="11.25" customWidth="1"/>
    <col min="11" max="12" width="18.375" customWidth="1"/>
    <col min="13" max="14" width="17.125" customWidth="1"/>
    <col min="15" max="24" width="11.25" customWidth="1"/>
  </cols>
  <sheetData>
    <row r="1" spans="1:15" ht="20.25" customHeight="1" x14ac:dyDescent="0.25">
      <c r="A1" s="44" t="s">
        <v>145</v>
      </c>
      <c r="B1" s="18" t="s">
        <v>139</v>
      </c>
      <c r="C1" s="18"/>
      <c r="D1" s="21">
        <v>0</v>
      </c>
      <c r="E1" s="22">
        <v>200</v>
      </c>
      <c r="F1"/>
    </row>
    <row r="2" spans="1:15" ht="20.25" customHeight="1" x14ac:dyDescent="0.25">
      <c r="A2" s="44" t="s">
        <v>146</v>
      </c>
      <c r="B2" s="18"/>
      <c r="C2" s="18"/>
      <c r="D2" s="21" t="s">
        <v>147</v>
      </c>
      <c r="E2" s="22" t="s">
        <v>148</v>
      </c>
      <c r="F2"/>
    </row>
    <row r="3" spans="1:15" ht="19.5" customHeight="1" x14ac:dyDescent="0.25">
      <c r="A3" s="45"/>
      <c r="B3" s="24"/>
      <c r="C3" s="24"/>
      <c r="D3" s="25"/>
      <c r="E3" s="26"/>
      <c r="F3"/>
    </row>
    <row r="4" spans="1:15" ht="47.25" x14ac:dyDescent="0.25">
      <c r="A4" s="46" t="s">
        <v>0</v>
      </c>
      <c r="B4" s="23" t="s">
        <v>193</v>
      </c>
      <c r="C4" s="23" t="s">
        <v>476</v>
      </c>
      <c r="D4" s="23" t="s">
        <v>243</v>
      </c>
      <c r="E4" s="23" t="s">
        <v>242</v>
      </c>
      <c r="F4" s="2" t="s">
        <v>136</v>
      </c>
      <c r="K4" t="s">
        <v>300</v>
      </c>
      <c r="L4" t="s">
        <v>301</v>
      </c>
      <c r="M4" t="s">
        <v>106</v>
      </c>
      <c r="N4" t="s">
        <v>195</v>
      </c>
    </row>
    <row r="5" spans="1:15" ht="20.25" customHeight="1" x14ac:dyDescent="0.25">
      <c r="A5" s="47" t="s">
        <v>1</v>
      </c>
      <c r="B5" s="20">
        <v>45</v>
      </c>
      <c r="C5" s="20">
        <f>+B5+10</f>
        <v>55</v>
      </c>
      <c r="D5" s="219"/>
      <c r="E5" s="219"/>
      <c r="F5" s="2" t="s">
        <v>160</v>
      </c>
    </row>
    <row r="6" spans="1:15" ht="20.25" customHeight="1" x14ac:dyDescent="0.25">
      <c r="A6" s="47" t="s">
        <v>2</v>
      </c>
      <c r="B6" s="20">
        <v>24</v>
      </c>
      <c r="C6" s="20">
        <f t="shared" ref="C6:C37" si="0">+B6+100</f>
        <v>124</v>
      </c>
      <c r="D6" s="219"/>
      <c r="E6" s="219"/>
      <c r="F6" s="2"/>
    </row>
    <row r="7" spans="1:15" ht="20.25" customHeight="1" x14ac:dyDescent="0.25">
      <c r="A7" s="47" t="s">
        <v>3</v>
      </c>
      <c r="B7" s="20">
        <v>65</v>
      </c>
      <c r="C7" s="20">
        <f t="shared" si="0"/>
        <v>165</v>
      </c>
      <c r="D7" s="219"/>
      <c r="E7" s="219"/>
      <c r="F7" s="2"/>
    </row>
    <row r="8" spans="1:15" ht="20.25" customHeight="1" x14ac:dyDescent="0.25">
      <c r="A8" s="47" t="s">
        <v>4</v>
      </c>
      <c r="B8" s="20">
        <v>85</v>
      </c>
      <c r="C8" s="20">
        <f t="shared" si="0"/>
        <v>185</v>
      </c>
      <c r="D8" s="219"/>
      <c r="E8" s="219"/>
      <c r="F8" s="2"/>
    </row>
    <row r="9" spans="1:15" ht="20.25" customHeight="1" x14ac:dyDescent="0.25">
      <c r="A9" s="47" t="s">
        <v>5</v>
      </c>
      <c r="B9" s="20">
        <v>40</v>
      </c>
      <c r="C9" s="20">
        <f t="shared" si="0"/>
        <v>140</v>
      </c>
      <c r="D9" s="219"/>
      <c r="E9" s="219"/>
      <c r="F9" s="2" t="s">
        <v>160</v>
      </c>
    </row>
    <row r="10" spans="1:15" ht="20.25" customHeight="1" x14ac:dyDescent="0.25">
      <c r="A10" s="47" t="s">
        <v>6</v>
      </c>
      <c r="B10" s="19">
        <f>45*1.0775</f>
        <v>48.487499999999997</v>
      </c>
      <c r="C10" s="20">
        <f t="shared" si="0"/>
        <v>148.48750000000001</v>
      </c>
      <c r="D10" s="219"/>
      <c r="E10" s="219"/>
      <c r="F10" s="2" t="s">
        <v>160</v>
      </c>
    </row>
    <row r="11" spans="1:15" ht="20.25" customHeight="1" x14ac:dyDescent="0.25">
      <c r="A11" s="47" t="s">
        <v>56</v>
      </c>
      <c r="B11" s="41">
        <v>150</v>
      </c>
      <c r="C11" s="20">
        <f t="shared" si="0"/>
        <v>250</v>
      </c>
      <c r="D11" s="219">
        <f>'BPC+TB500'!J2</f>
        <v>0</v>
      </c>
      <c r="E11" s="219">
        <f>'BPC+TB500'!K2</f>
        <v>0</v>
      </c>
      <c r="F11" s="2" t="s">
        <v>160</v>
      </c>
      <c r="G11" s="228" t="s">
        <v>245</v>
      </c>
      <c r="K11" t="s">
        <v>304</v>
      </c>
      <c r="L11" t="s">
        <v>305</v>
      </c>
      <c r="M11" t="s">
        <v>305</v>
      </c>
      <c r="O11" t="s">
        <v>309</v>
      </c>
    </row>
    <row r="12" spans="1:15" ht="20.25" customHeight="1" x14ac:dyDescent="0.25">
      <c r="A12" s="47" t="s">
        <v>52</v>
      </c>
      <c r="B12" s="20">
        <v>155</v>
      </c>
      <c r="C12" s="20">
        <f t="shared" si="0"/>
        <v>255</v>
      </c>
      <c r="D12" s="219"/>
      <c r="E12" s="219"/>
      <c r="F12" s="2"/>
    </row>
    <row r="13" spans="1:15" ht="20.25" customHeight="1" x14ac:dyDescent="0.25">
      <c r="A13" s="47" t="s">
        <v>7</v>
      </c>
      <c r="B13" s="20">
        <v>65</v>
      </c>
      <c r="C13" s="20">
        <f t="shared" si="0"/>
        <v>165</v>
      </c>
      <c r="D13" s="219"/>
      <c r="E13" s="219"/>
      <c r="F13" s="2"/>
    </row>
    <row r="14" spans="1:15" ht="20.25" customHeight="1" x14ac:dyDescent="0.25">
      <c r="A14" s="47" t="s">
        <v>8</v>
      </c>
      <c r="B14" s="20">
        <v>105</v>
      </c>
      <c r="C14" s="20">
        <f t="shared" si="0"/>
        <v>205</v>
      </c>
      <c r="D14" s="219"/>
      <c r="E14" s="219"/>
      <c r="F14" s="2"/>
    </row>
    <row r="15" spans="1:15" ht="20.25" customHeight="1" x14ac:dyDescent="0.25">
      <c r="A15" s="47" t="s">
        <v>9</v>
      </c>
      <c r="B15" s="20">
        <v>60</v>
      </c>
      <c r="C15" s="20">
        <f t="shared" si="0"/>
        <v>160</v>
      </c>
      <c r="D15" s="219"/>
      <c r="E15" s="219"/>
      <c r="F15" s="2"/>
    </row>
    <row r="16" spans="1:15" ht="20.25" customHeight="1" x14ac:dyDescent="0.25">
      <c r="A16" s="47" t="s">
        <v>10</v>
      </c>
      <c r="B16" s="20">
        <v>37</v>
      </c>
      <c r="C16" s="20">
        <f t="shared" si="0"/>
        <v>137</v>
      </c>
      <c r="D16" s="219">
        <f>'DSIP 5mg'!J2</f>
        <v>0</v>
      </c>
      <c r="E16" s="219">
        <f>'DSIP 5mg'!K2</f>
        <v>0</v>
      </c>
      <c r="F16" s="2" t="s">
        <v>160</v>
      </c>
      <c r="K16" t="s">
        <v>310</v>
      </c>
      <c r="L16" t="s">
        <v>311</v>
      </c>
      <c r="M16" t="s">
        <v>312</v>
      </c>
      <c r="O16" t="s">
        <v>313</v>
      </c>
    </row>
    <row r="17" spans="1:15" ht="20.25" customHeight="1" x14ac:dyDescent="0.25">
      <c r="A17" s="47" t="s">
        <v>111</v>
      </c>
      <c r="B17" s="20">
        <v>47</v>
      </c>
      <c r="C17" s="20">
        <f t="shared" si="0"/>
        <v>147</v>
      </c>
      <c r="D17" s="219">
        <f>'DSIP 10mg'!J2</f>
        <v>0</v>
      </c>
      <c r="E17" s="219">
        <f>'DSIP 10mg'!K2</f>
        <v>0</v>
      </c>
      <c r="F17" s="2" t="s">
        <v>160</v>
      </c>
      <c r="K17" t="s">
        <v>314</v>
      </c>
      <c r="L17" t="s">
        <v>315</v>
      </c>
      <c r="M17" t="s">
        <v>315</v>
      </c>
      <c r="O17" t="s">
        <v>316</v>
      </c>
    </row>
    <row r="18" spans="1:15" ht="20.25" customHeight="1" x14ac:dyDescent="0.25">
      <c r="A18" s="47" t="s">
        <v>11</v>
      </c>
      <c r="B18" s="20">
        <v>37</v>
      </c>
      <c r="C18" s="20">
        <f t="shared" si="0"/>
        <v>137</v>
      </c>
      <c r="D18" s="219"/>
      <c r="E18" s="219"/>
      <c r="F18" s="2"/>
    </row>
    <row r="19" spans="1:15" ht="20.25" customHeight="1" x14ac:dyDescent="0.25">
      <c r="A19" s="47" t="s">
        <v>12</v>
      </c>
      <c r="B19" s="20">
        <v>45</v>
      </c>
      <c r="C19" s="20">
        <f t="shared" si="0"/>
        <v>145</v>
      </c>
      <c r="D19" s="219"/>
      <c r="E19" s="219"/>
      <c r="F19" s="2" t="s">
        <v>160</v>
      </c>
    </row>
    <row r="20" spans="1:15" ht="20.25" customHeight="1" x14ac:dyDescent="0.25">
      <c r="A20" s="47" t="s">
        <v>13</v>
      </c>
      <c r="B20" s="19">
        <f>70*1.0775</f>
        <v>75.424999999999997</v>
      </c>
      <c r="C20" s="20">
        <f t="shared" si="0"/>
        <v>175.42500000000001</v>
      </c>
      <c r="D20" s="219"/>
      <c r="E20" s="219"/>
      <c r="F20" s="2"/>
    </row>
    <row r="21" spans="1:15" ht="20.25" customHeight="1" x14ac:dyDescent="0.25">
      <c r="A21" s="47" t="s">
        <v>14</v>
      </c>
      <c r="B21" s="20">
        <v>45</v>
      </c>
      <c r="C21" s="20">
        <f t="shared" si="0"/>
        <v>145</v>
      </c>
      <c r="D21" s="219">
        <f>'GHK-CU 50'!K2</f>
        <v>0</v>
      </c>
      <c r="E21" s="219">
        <f>'GHK-CU 50'!L2</f>
        <v>0</v>
      </c>
      <c r="F21" s="2" t="s">
        <v>160</v>
      </c>
      <c r="K21" t="s">
        <v>317</v>
      </c>
      <c r="L21" t="s">
        <v>315</v>
      </c>
      <c r="M21" t="s">
        <v>318</v>
      </c>
      <c r="O21" t="s">
        <v>319</v>
      </c>
    </row>
    <row r="22" spans="1:15" ht="20.25" customHeight="1" x14ac:dyDescent="0.25">
      <c r="A22" s="47" t="s">
        <v>15</v>
      </c>
      <c r="B22" s="20">
        <v>65</v>
      </c>
      <c r="C22" s="20">
        <f t="shared" si="0"/>
        <v>165</v>
      </c>
      <c r="D22" s="219"/>
      <c r="E22" s="219"/>
      <c r="F22" s="2" t="s">
        <v>160</v>
      </c>
    </row>
    <row r="23" spans="1:15" ht="20.25" customHeight="1" x14ac:dyDescent="0.25">
      <c r="A23" s="47" t="s">
        <v>16</v>
      </c>
      <c r="B23" s="20">
        <v>65</v>
      </c>
      <c r="C23" s="20">
        <f t="shared" si="0"/>
        <v>165</v>
      </c>
      <c r="D23" s="219"/>
      <c r="E23" s="219"/>
      <c r="F23" s="2"/>
    </row>
    <row r="24" spans="1:15" ht="20.25" customHeight="1" x14ac:dyDescent="0.25">
      <c r="A24" s="47" t="s">
        <v>17</v>
      </c>
      <c r="B24" s="20">
        <v>105</v>
      </c>
      <c r="C24" s="20">
        <f t="shared" si="0"/>
        <v>205</v>
      </c>
      <c r="D24" s="219">
        <f>'Glow 70'!K2</f>
        <v>0</v>
      </c>
      <c r="E24" s="219">
        <f>'Glow 70'!L2</f>
        <v>0</v>
      </c>
      <c r="F24" s="2" t="s">
        <v>160</v>
      </c>
      <c r="K24" t="s">
        <v>320</v>
      </c>
      <c r="O24" t="s">
        <v>321</v>
      </c>
    </row>
    <row r="25" spans="1:15" ht="20.25" customHeight="1" x14ac:dyDescent="0.25">
      <c r="A25" s="47" t="s">
        <v>18</v>
      </c>
      <c r="B25" s="20">
        <v>45</v>
      </c>
      <c r="C25" s="20">
        <f t="shared" si="0"/>
        <v>145</v>
      </c>
      <c r="D25" s="219"/>
      <c r="E25" s="219"/>
      <c r="F25" s="2" t="s">
        <v>160</v>
      </c>
    </row>
    <row r="26" spans="1:15" ht="20.25" customHeight="1" x14ac:dyDescent="0.25">
      <c r="A26" s="47" t="s">
        <v>19</v>
      </c>
      <c r="B26" s="20">
        <v>45</v>
      </c>
      <c r="C26" s="20">
        <f t="shared" si="0"/>
        <v>145</v>
      </c>
      <c r="D26" s="219"/>
      <c r="E26" s="219"/>
      <c r="F26" s="2" t="s">
        <v>160</v>
      </c>
    </row>
    <row r="27" spans="1:15" ht="20.25" customHeight="1" x14ac:dyDescent="0.25">
      <c r="A27" s="48" t="s">
        <v>150</v>
      </c>
      <c r="B27" s="36">
        <v>70</v>
      </c>
      <c r="C27" s="36">
        <f t="shared" si="0"/>
        <v>170</v>
      </c>
      <c r="D27" s="219"/>
      <c r="E27" s="219"/>
      <c r="F27" s="2" t="s">
        <v>161</v>
      </c>
    </row>
    <row r="28" spans="1:15" ht="20.25" customHeight="1" x14ac:dyDescent="0.25">
      <c r="A28" s="47" t="s">
        <v>20</v>
      </c>
      <c r="B28" s="20">
        <v>65</v>
      </c>
      <c r="C28" s="20">
        <f t="shared" si="0"/>
        <v>165</v>
      </c>
      <c r="D28" s="219"/>
      <c r="E28" s="219"/>
      <c r="F28" s="2"/>
    </row>
    <row r="29" spans="1:15" ht="20.25" customHeight="1" x14ac:dyDescent="0.25">
      <c r="A29" s="47" t="s">
        <v>55</v>
      </c>
      <c r="B29" s="20">
        <v>77</v>
      </c>
      <c r="C29" s="20">
        <f t="shared" si="0"/>
        <v>177</v>
      </c>
      <c r="D29" s="219"/>
      <c r="E29" s="219"/>
      <c r="F29" s="2"/>
    </row>
    <row r="30" spans="1:15" ht="20.25" customHeight="1" x14ac:dyDescent="0.25">
      <c r="A30" s="47" t="s">
        <v>21</v>
      </c>
      <c r="B30" s="20">
        <v>90</v>
      </c>
      <c r="C30" s="20">
        <f t="shared" si="0"/>
        <v>190</v>
      </c>
      <c r="D30" s="219"/>
      <c r="E30" s="219"/>
      <c r="F30" s="2"/>
    </row>
    <row r="31" spans="1:15" ht="20.25" customHeight="1" x14ac:dyDescent="0.25">
      <c r="A31" s="47" t="s">
        <v>22</v>
      </c>
      <c r="B31" s="20">
        <v>50</v>
      </c>
      <c r="C31" s="20">
        <f t="shared" si="0"/>
        <v>150</v>
      </c>
      <c r="D31" s="219">
        <f>Kissp!K2</f>
        <v>0</v>
      </c>
      <c r="E31" s="219">
        <f>Kissp!L2</f>
        <v>0</v>
      </c>
      <c r="F31" s="2" t="s">
        <v>160</v>
      </c>
      <c r="K31" t="s">
        <v>322</v>
      </c>
      <c r="L31" t="s">
        <v>317</v>
      </c>
      <c r="M31" t="s">
        <v>317</v>
      </c>
      <c r="O31" t="s">
        <v>323</v>
      </c>
    </row>
    <row r="32" spans="1:15" ht="20.25" customHeight="1" x14ac:dyDescent="0.25">
      <c r="A32" s="47" t="s">
        <v>23</v>
      </c>
      <c r="B32" s="20">
        <v>125</v>
      </c>
      <c r="C32" s="20">
        <f t="shared" si="0"/>
        <v>225</v>
      </c>
      <c r="D32" s="219">
        <f>'KLOW 80'!K2</f>
        <v>0</v>
      </c>
      <c r="E32" s="219">
        <f>'KLOW 80'!L2</f>
        <v>0</v>
      </c>
      <c r="F32" s="2" t="s">
        <v>163</v>
      </c>
      <c r="K32" t="s">
        <v>324</v>
      </c>
      <c r="L32" t="s">
        <v>325</v>
      </c>
      <c r="M32" t="s">
        <v>305</v>
      </c>
      <c r="O32" t="s">
        <v>326</v>
      </c>
    </row>
    <row r="33" spans="1:15" ht="20.25" customHeight="1" x14ac:dyDescent="0.25">
      <c r="A33" s="47" t="s">
        <v>24</v>
      </c>
      <c r="B33" s="20">
        <v>55</v>
      </c>
      <c r="C33" s="20">
        <f t="shared" si="0"/>
        <v>155</v>
      </c>
      <c r="D33" s="219"/>
      <c r="E33" s="219"/>
      <c r="F33" s="2"/>
    </row>
    <row r="34" spans="1:15" ht="20.25" customHeight="1" x14ac:dyDescent="0.25">
      <c r="A34" s="47" t="s">
        <v>54</v>
      </c>
      <c r="B34" s="20">
        <v>45</v>
      </c>
      <c r="C34" s="20">
        <f t="shared" si="0"/>
        <v>145</v>
      </c>
      <c r="D34" s="219"/>
      <c r="E34" s="219"/>
      <c r="F34" s="2"/>
    </row>
    <row r="35" spans="1:15" ht="20.25" customHeight="1" x14ac:dyDescent="0.25">
      <c r="A35" s="47" t="s">
        <v>25</v>
      </c>
      <c r="B35" s="19">
        <f>55*1.0775</f>
        <v>59.262499999999996</v>
      </c>
      <c r="C35" s="20">
        <f t="shared" si="0"/>
        <v>159.26249999999999</v>
      </c>
      <c r="D35" s="219"/>
      <c r="E35" s="219"/>
      <c r="F35" s="2" t="s">
        <v>160</v>
      </c>
      <c r="K35" t="s">
        <v>315</v>
      </c>
      <c r="L35" t="s">
        <v>327</v>
      </c>
      <c r="M35" t="s">
        <v>328</v>
      </c>
      <c r="O35" t="s">
        <v>329</v>
      </c>
    </row>
    <row r="36" spans="1:15" ht="20.25" customHeight="1" x14ac:dyDescent="0.25">
      <c r="A36" s="47" t="s">
        <v>26</v>
      </c>
      <c r="B36" s="20">
        <v>45</v>
      </c>
      <c r="C36" s="20">
        <f t="shared" si="0"/>
        <v>145</v>
      </c>
      <c r="D36" s="219"/>
      <c r="E36" s="219"/>
      <c r="F36" s="2"/>
    </row>
    <row r="37" spans="1:15" ht="20.25" customHeight="1" x14ac:dyDescent="0.25">
      <c r="A37" s="47" t="s">
        <v>27</v>
      </c>
      <c r="B37" s="41">
        <v>75</v>
      </c>
      <c r="C37" s="20">
        <f t="shared" si="0"/>
        <v>175</v>
      </c>
      <c r="D37" s="219">
        <f>+'NAD+ Acute'!K2</f>
        <v>0</v>
      </c>
      <c r="E37" s="219">
        <f>'NAD+ Acute'!L2</f>
        <v>0</v>
      </c>
      <c r="F37" s="2" t="s">
        <v>160</v>
      </c>
    </row>
    <row r="38" spans="1:15" ht="20.25" customHeight="1" x14ac:dyDescent="0.25">
      <c r="A38" s="47" t="s">
        <v>28</v>
      </c>
      <c r="B38" s="20">
        <v>55</v>
      </c>
      <c r="C38" s="20">
        <f t="shared" ref="C38:C58" si="1">+B38+100</f>
        <v>155</v>
      </c>
      <c r="D38" s="219"/>
      <c r="E38" s="219"/>
      <c r="F38" s="2" t="s">
        <v>160</v>
      </c>
      <c r="K38" t="s">
        <v>330</v>
      </c>
      <c r="L38" t="s">
        <v>328</v>
      </c>
      <c r="M38" t="s">
        <v>328</v>
      </c>
      <c r="O38" t="s">
        <v>331</v>
      </c>
    </row>
    <row r="39" spans="1:15" ht="20.25" customHeight="1" x14ac:dyDescent="0.25">
      <c r="A39" s="47" t="s">
        <v>357</v>
      </c>
      <c r="B39" s="19">
        <f>46*1.0775</f>
        <v>49.564999999999998</v>
      </c>
      <c r="C39" s="20">
        <f>+B39+50</f>
        <v>99.564999999999998</v>
      </c>
      <c r="D39" s="385">
        <f>+B39+50</f>
        <v>99.564999999999998</v>
      </c>
      <c r="E39" s="385">
        <f>+B39+30</f>
        <v>79.564999999999998</v>
      </c>
      <c r="F39" s="19"/>
    </row>
    <row r="40" spans="1:15" ht="20.25" customHeight="1" x14ac:dyDescent="0.25">
      <c r="A40" s="47" t="s">
        <v>29</v>
      </c>
      <c r="B40" s="20">
        <v>45</v>
      </c>
      <c r="C40" s="20">
        <f t="shared" si="1"/>
        <v>145</v>
      </c>
      <c r="D40" s="219"/>
      <c r="E40" s="219"/>
      <c r="F40" s="2" t="s">
        <v>160</v>
      </c>
    </row>
    <row r="41" spans="1:15" ht="20.25" customHeight="1" x14ac:dyDescent="0.25">
      <c r="A41" s="47" t="s">
        <v>57</v>
      </c>
      <c r="B41" s="20">
        <v>55</v>
      </c>
      <c r="C41" s="20">
        <f t="shared" si="1"/>
        <v>155</v>
      </c>
      <c r="D41" s="219">
        <f>'PT-141 10mg'!K2</f>
        <v>0</v>
      </c>
      <c r="E41" s="219" t="e">
        <f>'PT-141 10mg'!#REF!</f>
        <v>#REF!</v>
      </c>
      <c r="F41" s="2" t="s">
        <v>160</v>
      </c>
      <c r="G41" s="1"/>
      <c r="H41" s="1"/>
    </row>
    <row r="42" spans="1:15" ht="20.25" customHeight="1" x14ac:dyDescent="0.25">
      <c r="A42" s="47" t="s">
        <v>30</v>
      </c>
      <c r="B42" s="41">
        <v>100</v>
      </c>
      <c r="C42" s="41">
        <f t="shared" si="1"/>
        <v>200</v>
      </c>
      <c r="D42" s="219"/>
      <c r="E42" s="219"/>
      <c r="F42" s="2" t="s">
        <v>160</v>
      </c>
      <c r="G42" s="42" t="s">
        <v>252</v>
      </c>
      <c r="H42" s="229" t="s">
        <v>246</v>
      </c>
    </row>
    <row r="43" spans="1:15" ht="20.25" customHeight="1" x14ac:dyDescent="0.25">
      <c r="A43" s="47" t="s">
        <v>31</v>
      </c>
      <c r="B43" s="41">
        <v>140</v>
      </c>
      <c r="C43" s="41">
        <f t="shared" si="1"/>
        <v>240</v>
      </c>
      <c r="D43" s="219" t="s">
        <v>244</v>
      </c>
      <c r="E43" s="219" t="s">
        <v>244</v>
      </c>
      <c r="F43" s="2" t="s">
        <v>160</v>
      </c>
      <c r="G43" s="42" t="s">
        <v>253</v>
      </c>
      <c r="H43" s="229" t="s">
        <v>247</v>
      </c>
      <c r="I43" s="228" t="s">
        <v>258</v>
      </c>
      <c r="J43" s="228" t="s">
        <v>358</v>
      </c>
      <c r="K43" t="s">
        <v>306</v>
      </c>
      <c r="L43" t="s">
        <v>307</v>
      </c>
      <c r="M43" t="s">
        <v>302</v>
      </c>
      <c r="N43" t="s">
        <v>303</v>
      </c>
      <c r="O43" t="s">
        <v>308</v>
      </c>
    </row>
    <row r="44" spans="1:15" ht="20.25" customHeight="1" x14ac:dyDescent="0.25">
      <c r="A44" s="47" t="s">
        <v>32</v>
      </c>
      <c r="B44" s="41">
        <v>170</v>
      </c>
      <c r="C44" s="41">
        <f t="shared" si="1"/>
        <v>270</v>
      </c>
      <c r="D44" s="219"/>
      <c r="E44" s="219"/>
      <c r="F44" s="2" t="s">
        <v>160</v>
      </c>
      <c r="G44" s="42" t="s">
        <v>254</v>
      </c>
      <c r="H44" s="229" t="s">
        <v>248</v>
      </c>
    </row>
    <row r="45" spans="1:15" ht="20.25" customHeight="1" x14ac:dyDescent="0.25">
      <c r="A45" s="47" t="s">
        <v>33</v>
      </c>
      <c r="B45" s="20">
        <v>45</v>
      </c>
      <c r="C45" s="20">
        <f t="shared" si="1"/>
        <v>145</v>
      </c>
      <c r="D45" s="219"/>
      <c r="E45" s="219"/>
      <c r="F45" s="2" t="s">
        <v>160</v>
      </c>
    </row>
    <row r="46" spans="1:15" ht="20.25" customHeight="1" x14ac:dyDescent="0.25">
      <c r="A46" s="47" t="s">
        <v>34</v>
      </c>
      <c r="B46" s="20">
        <v>45</v>
      </c>
      <c r="C46" s="20">
        <f t="shared" si="1"/>
        <v>145</v>
      </c>
      <c r="D46" s="219"/>
      <c r="E46" s="219"/>
      <c r="F46" s="2" t="s">
        <v>160</v>
      </c>
    </row>
    <row r="47" spans="1:15" ht="20.25" customHeight="1" x14ac:dyDescent="0.25">
      <c r="A47" s="47" t="s">
        <v>35</v>
      </c>
      <c r="B47" s="19">
        <f>100*1.0775</f>
        <v>107.74999999999999</v>
      </c>
      <c r="C47" s="20">
        <f t="shared" si="1"/>
        <v>207.75</v>
      </c>
      <c r="D47" s="219"/>
      <c r="E47" s="219"/>
      <c r="F47" s="2" t="s">
        <v>160</v>
      </c>
    </row>
    <row r="48" spans="1:15" ht="20.25" customHeight="1" x14ac:dyDescent="0.25">
      <c r="A48" s="49" t="s">
        <v>36</v>
      </c>
      <c r="B48" s="31">
        <v>15</v>
      </c>
      <c r="C48" s="31">
        <f t="shared" si="1"/>
        <v>115</v>
      </c>
      <c r="D48" s="220"/>
      <c r="E48" s="220"/>
      <c r="F48" s="2"/>
    </row>
    <row r="49" spans="1:15" ht="20.25" customHeight="1" x14ac:dyDescent="0.25">
      <c r="A49" s="50" t="s">
        <v>37</v>
      </c>
      <c r="B49" s="33">
        <v>10</v>
      </c>
      <c r="C49" s="33">
        <f t="shared" si="1"/>
        <v>110</v>
      </c>
      <c r="D49" s="221"/>
      <c r="E49" s="222"/>
      <c r="F49" s="2"/>
    </row>
    <row r="50" spans="1:15" ht="20.25" customHeight="1" x14ac:dyDescent="0.25">
      <c r="A50" s="51" t="s">
        <v>38</v>
      </c>
      <c r="B50" s="30">
        <v>60</v>
      </c>
      <c r="C50" s="20">
        <f t="shared" si="1"/>
        <v>160</v>
      </c>
      <c r="D50" s="223"/>
      <c r="E50" s="219"/>
      <c r="F50" t="s">
        <v>160</v>
      </c>
    </row>
    <row r="51" spans="1:15" ht="20.25" customHeight="1" x14ac:dyDescent="0.25">
      <c r="A51" s="52" t="s">
        <v>39</v>
      </c>
      <c r="B51" s="30">
        <v>75</v>
      </c>
      <c r="C51" s="20">
        <f t="shared" si="1"/>
        <v>175</v>
      </c>
      <c r="D51" s="223">
        <f>'Tesam 10'!K2</f>
        <v>0</v>
      </c>
      <c r="E51" s="219">
        <f>'Tesam 10'!L2</f>
        <v>0</v>
      </c>
      <c r="F51" t="s">
        <v>160</v>
      </c>
      <c r="K51" t="s">
        <v>332</v>
      </c>
      <c r="L51" t="s">
        <v>333</v>
      </c>
      <c r="M51" t="s">
        <v>333</v>
      </c>
      <c r="O51" t="s">
        <v>334</v>
      </c>
    </row>
    <row r="52" spans="1:15" ht="20.25" customHeight="1" x14ac:dyDescent="0.25">
      <c r="A52" s="51" t="s">
        <v>53</v>
      </c>
      <c r="B52" s="30">
        <v>125</v>
      </c>
      <c r="C52" s="20">
        <f t="shared" si="1"/>
        <v>225</v>
      </c>
      <c r="D52" s="223"/>
      <c r="E52" s="219"/>
      <c r="F52"/>
      <c r="G52" s="1"/>
      <c r="H52" s="1"/>
    </row>
    <row r="53" spans="1:15" ht="20.25" customHeight="1" x14ac:dyDescent="0.25">
      <c r="A53" s="52" t="s">
        <v>40</v>
      </c>
      <c r="B53" s="42">
        <v>105</v>
      </c>
      <c r="C53" s="68">
        <f t="shared" si="1"/>
        <v>205</v>
      </c>
      <c r="D53" s="223"/>
      <c r="E53" s="219"/>
      <c r="F53" t="s">
        <v>160</v>
      </c>
      <c r="G53" s="42" t="s">
        <v>255</v>
      </c>
      <c r="H53" s="229" t="s">
        <v>249</v>
      </c>
    </row>
    <row r="54" spans="1:15" ht="20.25" customHeight="1" x14ac:dyDescent="0.25">
      <c r="A54" s="51" t="s">
        <v>41</v>
      </c>
      <c r="B54" s="42">
        <v>145</v>
      </c>
      <c r="C54" s="69">
        <f t="shared" si="1"/>
        <v>245</v>
      </c>
      <c r="D54" s="223"/>
      <c r="E54" s="219"/>
      <c r="F54" t="s">
        <v>160</v>
      </c>
      <c r="G54" s="42" t="s">
        <v>256</v>
      </c>
      <c r="H54" s="229" t="s">
        <v>250</v>
      </c>
    </row>
    <row r="55" spans="1:15" ht="20.25" customHeight="1" x14ac:dyDescent="0.25">
      <c r="A55" s="52" t="s">
        <v>42</v>
      </c>
      <c r="B55" s="42">
        <v>195</v>
      </c>
      <c r="C55" s="41">
        <f t="shared" si="1"/>
        <v>295</v>
      </c>
      <c r="D55" s="219" t="s">
        <v>244</v>
      </c>
      <c r="E55" s="219" t="s">
        <v>244</v>
      </c>
      <c r="F55" t="s">
        <v>160</v>
      </c>
      <c r="G55" s="42" t="s">
        <v>257</v>
      </c>
      <c r="H55" s="229" t="s">
        <v>251</v>
      </c>
      <c r="K55" t="s">
        <v>335</v>
      </c>
      <c r="L55" t="s">
        <v>336</v>
      </c>
      <c r="M55" t="s">
        <v>337</v>
      </c>
      <c r="N55" t="s">
        <v>338</v>
      </c>
      <c r="O55" t="s">
        <v>339</v>
      </c>
    </row>
    <row r="56" spans="1:15" ht="20.25" customHeight="1" x14ac:dyDescent="0.25">
      <c r="A56" s="51" t="s">
        <v>43</v>
      </c>
      <c r="B56" s="30">
        <v>75</v>
      </c>
      <c r="C56" s="20">
        <f t="shared" si="1"/>
        <v>175</v>
      </c>
      <c r="D56" s="223"/>
      <c r="E56" s="219"/>
      <c r="F56" t="s">
        <v>160</v>
      </c>
    </row>
    <row r="57" spans="1:15" ht="20.25" customHeight="1" x14ac:dyDescent="0.25">
      <c r="A57" s="52" t="s">
        <v>44</v>
      </c>
      <c r="B57" s="30">
        <v>255</v>
      </c>
      <c r="C57" s="20">
        <f t="shared" si="1"/>
        <v>355</v>
      </c>
      <c r="D57" s="223"/>
      <c r="E57" s="219"/>
      <c r="F57"/>
    </row>
    <row r="58" spans="1:15" ht="20.25" customHeight="1" x14ac:dyDescent="0.25">
      <c r="A58" s="51" t="s">
        <v>45</v>
      </c>
      <c r="B58" s="30">
        <v>55</v>
      </c>
      <c r="C58" s="31">
        <f t="shared" si="1"/>
        <v>155</v>
      </c>
      <c r="D58" s="219"/>
      <c r="E58" s="219"/>
      <c r="F58"/>
    </row>
    <row r="59" spans="1:15" ht="62.25" customHeight="1" x14ac:dyDescent="0.25">
      <c r="A59" s="214" t="s">
        <v>46</v>
      </c>
      <c r="B59" s="211" t="s">
        <v>112</v>
      </c>
      <c r="C59" s="212" t="s">
        <v>286</v>
      </c>
      <c r="D59" s="211" t="s">
        <v>149</v>
      </c>
      <c r="E59" s="211" t="s">
        <v>143</v>
      </c>
      <c r="F59" s="215"/>
    </row>
    <row r="60" spans="1:15" ht="20.25" customHeight="1" x14ac:dyDescent="0.25">
      <c r="A60" s="55" t="s">
        <v>47</v>
      </c>
      <c r="B60" s="6">
        <f>65*1.0775</f>
        <v>70.037499999999994</v>
      </c>
      <c r="C60" s="59">
        <f>+Table5[[#This Row],[2/2/2026 COST]]+100</f>
        <v>170.03749999999999</v>
      </c>
      <c r="D60" s="11">
        <f>+Table5[[#This Row],[2/2/2026 COST]]+100</f>
        <v>170.03749999999999</v>
      </c>
      <c r="E60" s="11">
        <f>+Table5[[#This Row],[2/2/2026 COST]]+30</f>
        <v>100.03749999999999</v>
      </c>
      <c r="F60"/>
    </row>
    <row r="61" spans="1:15" ht="20.25" customHeight="1" x14ac:dyDescent="0.25">
      <c r="A61" s="56" t="s">
        <v>48</v>
      </c>
      <c r="B61" s="28">
        <v>114</v>
      </c>
      <c r="C61" s="59">
        <f>+Table5[[#This Row],[2/2/2026 COST]]+100</f>
        <v>214</v>
      </c>
      <c r="D61" s="2">
        <f>+Table5[[#This Row],[2/2/2026 COST]]+100</f>
        <v>214</v>
      </c>
      <c r="E61" s="2">
        <f>+Table5[[#This Row],[2/2/2026 COST]]+30</f>
        <v>144</v>
      </c>
      <c r="F61"/>
    </row>
    <row r="62" spans="1:15" ht="20.25" customHeight="1" x14ac:dyDescent="0.25">
      <c r="A62" s="55" t="s">
        <v>49</v>
      </c>
      <c r="B62" s="27">
        <v>85</v>
      </c>
      <c r="C62" s="59">
        <f>+Table5[[#This Row],[2/2/2026 COST]]+100</f>
        <v>185</v>
      </c>
      <c r="D62" s="11">
        <f>+Table5[[#This Row],[2/2/2026 COST]]+100</f>
        <v>185</v>
      </c>
      <c r="E62" s="11">
        <f>+Table5[[#This Row],[2/2/2026 COST]]+30</f>
        <v>115</v>
      </c>
      <c r="F62"/>
    </row>
    <row r="63" spans="1:15" ht="32.25" customHeight="1" x14ac:dyDescent="0.25">
      <c r="A63" s="56" t="s">
        <v>162</v>
      </c>
      <c r="B63" s="28">
        <v>65</v>
      </c>
      <c r="C63" s="59">
        <f>+Table5[[#This Row],[2/2/2026 COST]]+100</f>
        <v>165</v>
      </c>
      <c r="D63" s="2">
        <f>+Table5[[#This Row],[2/2/2026 COST]]+100</f>
        <v>165</v>
      </c>
      <c r="E63" s="2">
        <f>+Table5[[#This Row],[2/2/2026 COST]]+30</f>
        <v>95</v>
      </c>
      <c r="F63"/>
    </row>
    <row r="64" spans="1:15" ht="20.25" customHeight="1" x14ac:dyDescent="0.25">
      <c r="A64" s="55" t="s">
        <v>51</v>
      </c>
      <c r="B64" s="27">
        <v>85</v>
      </c>
      <c r="C64" s="59">
        <f>+Table5[[#This Row],[2/2/2026 COST]]+100</f>
        <v>185</v>
      </c>
      <c r="D64" s="11">
        <f>+Table5[[#This Row],[2/2/2026 COST]]+100</f>
        <v>185</v>
      </c>
      <c r="E64" s="11">
        <f>+Table5[[#This Row],[2/2/2026 COST]]+30</f>
        <v>115</v>
      </c>
      <c r="F64"/>
    </row>
    <row r="65" spans="1:6" ht="20.25" customHeight="1" x14ac:dyDescent="0.25">
      <c r="A65" s="56" t="s">
        <v>15</v>
      </c>
      <c r="B65" s="28">
        <v>65</v>
      </c>
      <c r="C65" s="59">
        <f>+Table5[[#This Row],[2/2/2026 COST]]+100</f>
        <v>165</v>
      </c>
      <c r="D65" s="2">
        <f>+Table5[[#This Row],[2/2/2026 COST]]+100</f>
        <v>165</v>
      </c>
      <c r="E65" s="2">
        <f>+Table5[[#This Row],[2/2/2026 COST]]+30</f>
        <v>95</v>
      </c>
      <c r="F65"/>
    </row>
    <row r="66" spans="1:6" ht="20.25" customHeight="1" x14ac:dyDescent="0.25">
      <c r="A66" s="57" t="s">
        <v>6</v>
      </c>
      <c r="B66" s="29">
        <v>55</v>
      </c>
      <c r="C66" s="59">
        <f>+Table5[[#This Row],[2/2/2026 COST]]+100</f>
        <v>155</v>
      </c>
      <c r="D66" s="11">
        <f>+Table5[[#This Row],[2/2/2026 COST]]+100</f>
        <v>155</v>
      </c>
      <c r="E66" s="2">
        <f>+Table5[[#This Row],[2/2/2026 COST]]+30</f>
        <v>85</v>
      </c>
      <c r="F66"/>
    </row>
    <row r="67" spans="1:6" ht="20.25" customHeight="1" x14ac:dyDescent="0.25">
      <c r="A67" s="56" t="s">
        <v>151</v>
      </c>
      <c r="B67" s="27">
        <v>70</v>
      </c>
      <c r="C67" s="59">
        <f>+Table5[[#This Row],[2/2/2026 COST]]+100</f>
        <v>170</v>
      </c>
      <c r="D67" s="2">
        <f>+Table5[[#This Row],[2/2/2026 COST]]+100</f>
        <v>170</v>
      </c>
      <c r="E67" s="2">
        <f>+Table5[[#This Row],[2/2/2026 COST]]+30</f>
        <v>100</v>
      </c>
      <c r="F67"/>
    </row>
    <row r="68" spans="1:6" ht="20.25" customHeight="1" x14ac:dyDescent="0.25">
      <c r="A68" s="55" t="s">
        <v>152</v>
      </c>
      <c r="B68" s="27">
        <v>90</v>
      </c>
      <c r="C68" s="59">
        <f>+Table5[[#This Row],[2/2/2026 COST]]+100</f>
        <v>190</v>
      </c>
      <c r="D68" s="11">
        <f>+Table5[[#This Row],[2/2/2026 COST]]+100</f>
        <v>190</v>
      </c>
      <c r="E68" s="2">
        <f>+Table5[[#This Row],[2/2/2026 COST]]+30</f>
        <v>120</v>
      </c>
      <c r="F68"/>
    </row>
    <row r="69" spans="1:6" ht="20.25" customHeight="1" x14ac:dyDescent="0.25">
      <c r="A69" s="47" t="s">
        <v>153</v>
      </c>
      <c r="B69" s="29">
        <v>110</v>
      </c>
      <c r="C69" s="59">
        <f>+Table5[[#This Row],[2/2/2026 COST]]+100</f>
        <v>210</v>
      </c>
      <c r="D69" s="2">
        <f>+Table5[[#This Row],[2/2/2026 COST]]+100</f>
        <v>210</v>
      </c>
      <c r="E69" s="2">
        <f>+Table5[[#This Row],[2/2/2026 COST]]+30</f>
        <v>140</v>
      </c>
      <c r="F69"/>
    </row>
    <row r="70" spans="1:6" ht="60.75" customHeight="1" x14ac:dyDescent="0.25">
      <c r="A70" s="216" t="s">
        <v>158</v>
      </c>
      <c r="B70" s="211" t="s">
        <v>112</v>
      </c>
      <c r="C70" s="211" t="s">
        <v>286</v>
      </c>
      <c r="D70" s="217" t="s">
        <v>149</v>
      </c>
      <c r="E70" s="218" t="s">
        <v>143</v>
      </c>
      <c r="F70" s="213"/>
    </row>
    <row r="71" spans="1:6" ht="20.25" customHeight="1" x14ac:dyDescent="0.25">
      <c r="A71" s="56" t="s">
        <v>154</v>
      </c>
      <c r="B71" s="38">
        <v>70</v>
      </c>
      <c r="C71" s="60">
        <f>+Table5[[#This Row],[2/2/2026 COST]]+100</f>
        <v>170</v>
      </c>
      <c r="D71" s="224">
        <f>+Table5[[#This Row],[2/2/2026 COST]]+100</f>
        <v>170</v>
      </c>
      <c r="E71">
        <f>+Table5[[#This Row],[2/2/2026 COST]]+30</f>
        <v>100</v>
      </c>
      <c r="F71" s="2"/>
    </row>
    <row r="72" spans="1:6" ht="20.25" customHeight="1" x14ac:dyDescent="0.25">
      <c r="A72" s="56" t="s">
        <v>155</v>
      </c>
      <c r="B72" s="30">
        <v>75</v>
      </c>
      <c r="C72" s="60">
        <f>+Table5[[#This Row],[2/2/2026 COST]]+100</f>
        <v>175</v>
      </c>
      <c r="D72">
        <f>+Table5[[#This Row],[2/2/2026 COST]]+100</f>
        <v>175</v>
      </c>
      <c r="E72">
        <f>+Table5[[#This Row],[2/2/2026 COST]]+30</f>
        <v>105</v>
      </c>
      <c r="F72" s="2"/>
    </row>
    <row r="73" spans="1:6" ht="20.25" customHeight="1" x14ac:dyDescent="0.25">
      <c r="A73" s="56" t="s">
        <v>156</v>
      </c>
      <c r="B73" s="38">
        <v>75</v>
      </c>
      <c r="C73" s="60">
        <f>+Table5[[#This Row],[2/2/2026 COST]]+100</f>
        <v>175</v>
      </c>
      <c r="D73" s="224">
        <f>+Table5[[#This Row],[2/2/2026 COST]]+100</f>
        <v>175</v>
      </c>
      <c r="E73">
        <f>+Table5[[#This Row],[2/2/2026 COST]]+30</f>
        <v>105</v>
      </c>
      <c r="F73" s="2"/>
    </row>
    <row r="74" spans="1:6" ht="20.25" customHeight="1" x14ac:dyDescent="0.25">
      <c r="A74" s="56" t="s">
        <v>157</v>
      </c>
      <c r="B74" s="30">
        <v>75</v>
      </c>
      <c r="C74" s="60">
        <f>+Table5[[#This Row],[2/2/2026 COST]]*1.15</f>
        <v>86.25</v>
      </c>
      <c r="D74">
        <f>+Table5[[#This Row],[2/2/2026 COST]]+100</f>
        <v>175</v>
      </c>
      <c r="E74">
        <f>+Table5[[#This Row],[2/2/2026 COST]]+30</f>
        <v>105</v>
      </c>
      <c r="F74" s="2"/>
    </row>
    <row r="75" spans="1:6" ht="60" customHeight="1" x14ac:dyDescent="0.25">
      <c r="A75" s="230" t="s">
        <v>259</v>
      </c>
      <c r="B75" s="231" t="s">
        <v>113</v>
      </c>
      <c r="C75" s="232">
        <v>0.15</v>
      </c>
      <c r="D75" s="231" t="s">
        <v>149</v>
      </c>
      <c r="E75" s="231" t="s">
        <v>143</v>
      </c>
      <c r="F75" s="231"/>
    </row>
    <row r="76" spans="1:6" ht="20.25" customHeight="1" x14ac:dyDescent="0.25">
      <c r="A76" s="47" t="s">
        <v>260</v>
      </c>
      <c r="B76" s="233">
        <v>25</v>
      </c>
      <c r="C76" s="20"/>
      <c r="D76" s="19">
        <v>85</v>
      </c>
      <c r="E76" s="19">
        <v>85</v>
      </c>
      <c r="F76" s="19"/>
    </row>
    <row r="77" spans="1:6" ht="33.75" customHeight="1" x14ac:dyDescent="0.25">
      <c r="A77" s="47" t="s">
        <v>262</v>
      </c>
      <c r="B77" s="233">
        <v>0.11</v>
      </c>
      <c r="C77" s="20"/>
      <c r="D77" s="19"/>
      <c r="E77" s="19"/>
      <c r="F77" s="19"/>
    </row>
    <row r="78" spans="1:6" ht="31.5" x14ac:dyDescent="0.25">
      <c r="A78" s="47" t="s">
        <v>263</v>
      </c>
      <c r="B78" s="233">
        <v>0.6</v>
      </c>
      <c r="C78" s="20"/>
      <c r="D78" s="19"/>
      <c r="E78" s="19"/>
      <c r="F78" s="19"/>
    </row>
    <row r="79" spans="1:6" ht="20.25" customHeight="1" x14ac:dyDescent="0.25">
      <c r="A79" s="47" t="s">
        <v>261</v>
      </c>
      <c r="B79" s="233">
        <v>0.11</v>
      </c>
      <c r="C79" s="20"/>
      <c r="D79" s="19"/>
      <c r="E79" s="19"/>
      <c r="F79" s="19"/>
    </row>
    <row r="80" spans="1:6" ht="20.25" customHeight="1" x14ac:dyDescent="0.25">
      <c r="A80" s="47"/>
      <c r="B80" s="233"/>
      <c r="C80" s="20"/>
      <c r="D80" s="19"/>
      <c r="E80" s="19"/>
      <c r="F80" s="19"/>
    </row>
    <row r="81" spans="1:7" ht="20.25" customHeight="1" x14ac:dyDescent="0.25">
      <c r="A81" s="47"/>
      <c r="B81" s="233"/>
      <c r="C81" s="20"/>
      <c r="D81" s="19"/>
      <c r="E81" s="19"/>
      <c r="F81" s="19"/>
    </row>
    <row r="82" spans="1:7" ht="20.25" customHeight="1" x14ac:dyDescent="0.25">
      <c r="A82" s="47"/>
      <c r="B82" s="233"/>
      <c r="C82" s="20"/>
      <c r="D82" s="19"/>
      <c r="E82" s="19"/>
      <c r="F82" s="19"/>
    </row>
    <row r="85" spans="1:7" ht="20.25" customHeight="1" x14ac:dyDescent="0.25">
      <c r="A85" s="48" t="s">
        <v>355</v>
      </c>
      <c r="B85" s="386">
        <f>55*1.0775</f>
        <v>59.262499999999996</v>
      </c>
      <c r="G85" t="s">
        <v>356</v>
      </c>
    </row>
    <row r="88" spans="1:7" ht="20.25" customHeight="1" x14ac:dyDescent="0.25">
      <c r="A88" s="53"/>
      <c r="B88"/>
      <c r="C88"/>
      <c r="D88"/>
      <c r="E88"/>
      <c r="F88"/>
    </row>
    <row r="89" spans="1:7" ht="20.25" customHeight="1" x14ac:dyDescent="0.25">
      <c r="A89" s="53"/>
      <c r="B89"/>
      <c r="C89"/>
      <c r="D89"/>
      <c r="E89"/>
      <c r="F89"/>
    </row>
  </sheetData>
  <sortState xmlns:xlrd2="http://schemas.microsoft.com/office/spreadsheetml/2017/richdata2" ref="A5:B58">
    <sortCondition ref="A5:A58"/>
  </sortState>
  <phoneticPr fontId="15" type="noConversion"/>
  <pageMargins left="0.7" right="0.7" top="0.5" bottom="0.5" header="0.3" footer="0.3"/>
  <pageSetup scale="7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5C68A-6697-4A01-8DA6-E70E0E70B5F8}">
  <sheetPr codeName="Sheet3"/>
  <dimension ref="A1:A22"/>
  <sheetViews>
    <sheetView workbookViewId="0">
      <selection activeCell="A16" sqref="A16"/>
    </sheetView>
  </sheetViews>
  <sheetFormatPr defaultRowHeight="15.75" x14ac:dyDescent="0.25"/>
  <cols>
    <col min="1" max="1" width="114.125" customWidth="1"/>
  </cols>
  <sheetData>
    <row r="1" spans="1:1" x14ac:dyDescent="0.25">
      <c r="A1" t="s">
        <v>90</v>
      </c>
    </row>
    <row r="3" spans="1:1" x14ac:dyDescent="0.25">
      <c r="A3" t="s">
        <v>91</v>
      </c>
    </row>
    <row r="5" spans="1:1" x14ac:dyDescent="0.25">
      <c r="A5" t="s">
        <v>92</v>
      </c>
    </row>
    <row r="6" spans="1:1" x14ac:dyDescent="0.25">
      <c r="A6" t="s">
        <v>93</v>
      </c>
    </row>
    <row r="8" spans="1:1" x14ac:dyDescent="0.25">
      <c r="A8" t="s">
        <v>104</v>
      </c>
    </row>
    <row r="10" spans="1:1" x14ac:dyDescent="0.25">
      <c r="A10" t="s">
        <v>94</v>
      </c>
    </row>
    <row r="11" spans="1:1" x14ac:dyDescent="0.25">
      <c r="A11" t="s">
        <v>95</v>
      </c>
    </row>
    <row r="13" spans="1:1" x14ac:dyDescent="0.25">
      <c r="A13" t="s">
        <v>96</v>
      </c>
    </row>
    <row r="14" spans="1:1" x14ac:dyDescent="0.25">
      <c r="A14" t="s">
        <v>97</v>
      </c>
    </row>
    <row r="15" spans="1:1" x14ac:dyDescent="0.25">
      <c r="A15" t="s">
        <v>98</v>
      </c>
    </row>
    <row r="16" spans="1:1" x14ac:dyDescent="0.25">
      <c r="A16" t="s">
        <v>99</v>
      </c>
    </row>
    <row r="17" spans="1:1" x14ac:dyDescent="0.25">
      <c r="A17" t="s">
        <v>100</v>
      </c>
    </row>
    <row r="19" spans="1:1" x14ac:dyDescent="0.25">
      <c r="A19" t="s">
        <v>101</v>
      </c>
    </row>
    <row r="20" spans="1:1" x14ac:dyDescent="0.25">
      <c r="A20" t="s">
        <v>102</v>
      </c>
    </row>
    <row r="22" spans="1:1" x14ac:dyDescent="0.25">
      <c r="A22" t="s">
        <v>103</v>
      </c>
    </row>
  </sheetData>
  <sheetProtection algorithmName="SHA-512" hashValue="/2xzS5GYPlTylRNMQEiTsnNten2fVVLPD1bRyquwESWNSppSr35Q0m/ZKvGf6SitSIkRlp7BK5TOs/369Uxf5w==" saltValue="K7P3/0OZ6dUq1EpI3b9isw==" spinCount="100000" sheet="1" objects="1" scenarios="1"/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9515A-4228-4194-BDDB-97C8D29246C9}">
  <sheetPr codeName="Sheet4"/>
  <dimension ref="A1:G93"/>
  <sheetViews>
    <sheetView topLeftCell="D27" workbookViewId="0">
      <selection activeCell="G52" sqref="G52"/>
    </sheetView>
  </sheetViews>
  <sheetFormatPr defaultColWidth="11.25" defaultRowHeight="15.75" x14ac:dyDescent="0.25"/>
  <cols>
    <col min="1" max="1" width="24.5" style="48" customWidth="1"/>
    <col min="2" max="4" width="40.75" style="1" customWidth="1"/>
    <col min="5" max="5" width="10" style="1" customWidth="1"/>
    <col min="6" max="6" width="33.375" bestFit="1" customWidth="1"/>
    <col min="7" max="7" width="54.25" bestFit="1" customWidth="1"/>
    <col min="8" max="8" width="30.5" customWidth="1"/>
  </cols>
  <sheetData>
    <row r="1" spans="1:7" ht="20.25" customHeight="1" x14ac:dyDescent="0.25">
      <c r="A1" s="44" t="s">
        <v>168</v>
      </c>
      <c r="B1" s="18"/>
      <c r="C1" s="18"/>
      <c r="D1" s="21"/>
      <c r="E1"/>
      <c r="F1" s="61" t="s">
        <v>58</v>
      </c>
      <c r="G1" s="12" t="s">
        <v>85</v>
      </c>
    </row>
    <row r="2" spans="1:7" ht="8.25" customHeight="1" x14ac:dyDescent="0.25">
      <c r="A2" s="45"/>
      <c r="B2" s="24"/>
      <c r="C2" s="24"/>
      <c r="D2" s="25"/>
      <c r="E2"/>
    </row>
    <row r="3" spans="1:7" ht="20.25" customHeight="1" x14ac:dyDescent="0.25">
      <c r="A3" s="46" t="s">
        <v>0</v>
      </c>
      <c r="B3" s="23" t="s">
        <v>136</v>
      </c>
      <c r="C3" s="23" t="s">
        <v>166</v>
      </c>
      <c r="D3" s="2" t="s">
        <v>167</v>
      </c>
      <c r="E3"/>
    </row>
    <row r="4" spans="1:7" ht="20.25" customHeight="1" x14ac:dyDescent="0.25">
      <c r="A4" s="47" t="s">
        <v>1</v>
      </c>
      <c r="B4" t="s">
        <v>60</v>
      </c>
      <c r="C4" s="19"/>
      <c r="D4" s="2"/>
      <c r="E4"/>
    </row>
    <row r="5" spans="1:7" ht="20.25" customHeight="1" x14ac:dyDescent="0.25">
      <c r="A5" s="47" t="s">
        <v>2</v>
      </c>
      <c r="B5" s="19"/>
      <c r="C5" s="19"/>
      <c r="D5" s="2"/>
      <c r="E5"/>
    </row>
    <row r="6" spans="1:7" ht="20.25" customHeight="1" x14ac:dyDescent="0.25">
      <c r="A6" s="47" t="s">
        <v>3</v>
      </c>
      <c r="B6" s="19"/>
      <c r="C6" s="19"/>
      <c r="D6" s="2"/>
      <c r="E6"/>
    </row>
    <row r="7" spans="1:7" ht="20.25" customHeight="1" x14ac:dyDescent="0.25">
      <c r="A7" s="47" t="s">
        <v>4</v>
      </c>
      <c r="B7" s="19"/>
      <c r="C7" s="19"/>
      <c r="D7" s="2"/>
      <c r="E7"/>
    </row>
    <row r="8" spans="1:7" ht="20.25" customHeight="1" x14ac:dyDescent="0.25">
      <c r="A8" s="47" t="s">
        <v>5</v>
      </c>
      <c r="B8" t="s">
        <v>59</v>
      </c>
      <c r="C8" t="s">
        <v>89</v>
      </c>
      <c r="D8" s="2"/>
      <c r="E8"/>
    </row>
    <row r="9" spans="1:7" ht="20.25" customHeight="1" x14ac:dyDescent="0.25">
      <c r="A9" s="47" t="s">
        <v>6</v>
      </c>
      <c r="B9" t="s">
        <v>59</v>
      </c>
      <c r="C9" t="s">
        <v>89</v>
      </c>
      <c r="D9" s="2"/>
      <c r="E9"/>
    </row>
    <row r="10" spans="1:7" ht="20.25" customHeight="1" x14ac:dyDescent="0.25">
      <c r="A10" s="47" t="s">
        <v>56</v>
      </c>
      <c r="B10" t="s">
        <v>59</v>
      </c>
      <c r="C10" t="s">
        <v>89</v>
      </c>
      <c r="D10" s="2"/>
      <c r="E10"/>
    </row>
    <row r="11" spans="1:7" ht="20.25" customHeight="1" x14ac:dyDescent="0.25">
      <c r="A11" s="47" t="s">
        <v>52</v>
      </c>
      <c r="B11" t="s">
        <v>59</v>
      </c>
      <c r="C11" t="s">
        <v>89</v>
      </c>
      <c r="D11" s="2"/>
      <c r="E11"/>
    </row>
    <row r="12" spans="1:7" ht="20.25" customHeight="1" x14ac:dyDescent="0.25">
      <c r="A12" s="47" t="s">
        <v>7</v>
      </c>
      <c r="B12" s="19"/>
      <c r="C12" s="19"/>
      <c r="D12" s="2"/>
      <c r="E12"/>
    </row>
    <row r="13" spans="1:7" ht="20.25" customHeight="1" x14ac:dyDescent="0.25">
      <c r="A13" s="47" t="s">
        <v>8</v>
      </c>
      <c r="B13" s="19"/>
      <c r="C13" s="19"/>
      <c r="D13" s="2"/>
      <c r="E13"/>
    </row>
    <row r="14" spans="1:7" ht="20.25" customHeight="1" x14ac:dyDescent="0.25">
      <c r="A14" s="47" t="s">
        <v>9</v>
      </c>
      <c r="B14" t="s">
        <v>59</v>
      </c>
      <c r="C14" s="19"/>
      <c r="D14" s="2"/>
      <c r="E14"/>
    </row>
    <row r="15" spans="1:7" ht="20.25" customHeight="1" x14ac:dyDescent="0.25">
      <c r="A15" s="47" t="s">
        <v>10</v>
      </c>
      <c r="B15" t="s">
        <v>79</v>
      </c>
      <c r="C15" t="s">
        <v>63</v>
      </c>
      <c r="D15" s="2"/>
      <c r="E15"/>
    </row>
    <row r="16" spans="1:7" ht="20.25" customHeight="1" x14ac:dyDescent="0.25">
      <c r="A16" s="47" t="s">
        <v>111</v>
      </c>
      <c r="B16" t="s">
        <v>79</v>
      </c>
      <c r="C16" t="s">
        <v>63</v>
      </c>
      <c r="D16" s="2"/>
      <c r="E16"/>
    </row>
    <row r="17" spans="1:6" ht="20.25" customHeight="1" x14ac:dyDescent="0.25">
      <c r="A17" s="47" t="s">
        <v>11</v>
      </c>
      <c r="B17" t="s">
        <v>62</v>
      </c>
      <c r="C17" t="s">
        <v>63</v>
      </c>
      <c r="D17" s="2"/>
      <c r="E17"/>
    </row>
    <row r="18" spans="1:6" ht="20.25" customHeight="1" x14ac:dyDescent="0.25">
      <c r="A18" s="47" t="s">
        <v>12</v>
      </c>
      <c r="B18" t="s">
        <v>62</v>
      </c>
      <c r="C18" t="s">
        <v>63</v>
      </c>
      <c r="D18" s="2"/>
      <c r="E18"/>
    </row>
    <row r="19" spans="1:6" ht="20.25" customHeight="1" x14ac:dyDescent="0.25">
      <c r="A19" s="47" t="s">
        <v>13</v>
      </c>
      <c r="B19" t="s">
        <v>62</v>
      </c>
      <c r="C19" t="s">
        <v>63</v>
      </c>
      <c r="D19" s="2"/>
      <c r="E19"/>
    </row>
    <row r="20" spans="1:6" ht="20.25" customHeight="1" x14ac:dyDescent="0.25">
      <c r="A20" s="47" t="s">
        <v>14</v>
      </c>
      <c r="B20" t="s">
        <v>64</v>
      </c>
      <c r="C20" s="19"/>
      <c r="D20" s="2"/>
      <c r="E20"/>
    </row>
    <row r="21" spans="1:6" ht="20.25" customHeight="1" x14ac:dyDescent="0.25">
      <c r="A21" s="47" t="s">
        <v>15</v>
      </c>
      <c r="B21" t="s">
        <v>64</v>
      </c>
      <c r="C21" s="19"/>
      <c r="D21" s="2"/>
      <c r="E21"/>
    </row>
    <row r="22" spans="1:6" ht="20.25" customHeight="1" x14ac:dyDescent="0.25">
      <c r="A22" s="47" t="s">
        <v>16</v>
      </c>
      <c r="B22" t="s">
        <v>64</v>
      </c>
      <c r="C22" s="19"/>
      <c r="D22" s="2"/>
      <c r="E22"/>
    </row>
    <row r="23" spans="1:6" ht="20.25" customHeight="1" x14ac:dyDescent="0.25">
      <c r="A23" s="47" t="s">
        <v>17</v>
      </c>
      <c r="B23" t="s">
        <v>64</v>
      </c>
      <c r="C23" s="19"/>
      <c r="D23" s="2"/>
      <c r="E23"/>
      <c r="F23" s="61"/>
    </row>
    <row r="24" spans="1:6" ht="20.25" customHeight="1" x14ac:dyDescent="0.25">
      <c r="A24" s="47" t="s">
        <v>18</v>
      </c>
      <c r="B24" s="19"/>
      <c r="C24" s="19"/>
      <c r="D24" s="2"/>
      <c r="E24"/>
    </row>
    <row r="25" spans="1:6" ht="20.25" customHeight="1" x14ac:dyDescent="0.25">
      <c r="A25" s="47" t="s">
        <v>19</v>
      </c>
      <c r="B25" s="19"/>
      <c r="C25" s="19"/>
      <c r="D25" s="2"/>
      <c r="E25"/>
    </row>
    <row r="26" spans="1:6" ht="20.25" customHeight="1" x14ac:dyDescent="0.25">
      <c r="A26" s="48" t="s">
        <v>150</v>
      </c>
      <c r="B26" s="19"/>
      <c r="C26" s="19"/>
      <c r="D26" s="2"/>
      <c r="E26"/>
    </row>
    <row r="27" spans="1:6" ht="20.25" customHeight="1" x14ac:dyDescent="0.25">
      <c r="A27" s="47" t="s">
        <v>20</v>
      </c>
      <c r="B27" s="19"/>
      <c r="C27" s="19"/>
      <c r="D27" s="2"/>
      <c r="E27"/>
    </row>
    <row r="28" spans="1:6" ht="20.25" customHeight="1" x14ac:dyDescent="0.25">
      <c r="A28" s="47" t="s">
        <v>55</v>
      </c>
      <c r="B28" s="19"/>
      <c r="C28" s="19"/>
      <c r="D28" s="2"/>
      <c r="E28"/>
    </row>
    <row r="29" spans="1:6" ht="20.25" customHeight="1" x14ac:dyDescent="0.25">
      <c r="A29" s="47" t="s">
        <v>21</v>
      </c>
      <c r="B29" s="19"/>
      <c r="C29" s="19"/>
      <c r="D29" s="2"/>
      <c r="E29"/>
      <c r="F29" s="61"/>
    </row>
    <row r="30" spans="1:6" ht="20.25" customHeight="1" x14ac:dyDescent="0.25">
      <c r="A30" s="47" t="s">
        <v>22</v>
      </c>
      <c r="B30" t="s">
        <v>80</v>
      </c>
      <c r="C30" s="19"/>
      <c r="D30" s="2"/>
      <c r="E30"/>
    </row>
    <row r="31" spans="1:6" ht="20.25" customHeight="1" x14ac:dyDescent="0.25">
      <c r="A31" s="47" t="s">
        <v>23</v>
      </c>
      <c r="B31" t="s">
        <v>64</v>
      </c>
      <c r="C31" s="19"/>
      <c r="D31" s="2"/>
      <c r="E31"/>
    </row>
    <row r="32" spans="1:6" ht="20.25" customHeight="1" x14ac:dyDescent="0.25">
      <c r="A32" s="47" t="s">
        <v>24</v>
      </c>
      <c r="B32" s="19"/>
      <c r="C32" s="19"/>
      <c r="D32" s="2"/>
      <c r="E32"/>
    </row>
    <row r="33" spans="1:7" ht="20.25" customHeight="1" x14ac:dyDescent="0.25">
      <c r="A33" s="47" t="s">
        <v>54</v>
      </c>
      <c r="B33" t="s">
        <v>82</v>
      </c>
      <c r="C33" s="19"/>
      <c r="D33" s="2"/>
      <c r="E33"/>
    </row>
    <row r="34" spans="1:7" ht="20.25" customHeight="1" x14ac:dyDescent="0.25">
      <c r="A34" s="47" t="s">
        <v>25</v>
      </c>
      <c r="B34" t="s">
        <v>60</v>
      </c>
      <c r="C34" t="s">
        <v>62</v>
      </c>
      <c r="D34" t="s">
        <v>81</v>
      </c>
      <c r="E34"/>
    </row>
    <row r="35" spans="1:7" ht="20.25" customHeight="1" x14ac:dyDescent="0.25">
      <c r="A35" s="47" t="s">
        <v>26</v>
      </c>
      <c r="B35" s="19"/>
      <c r="C35" s="19"/>
      <c r="D35" s="2"/>
      <c r="E35"/>
    </row>
    <row r="36" spans="1:7" ht="20.25" customHeight="1" x14ac:dyDescent="0.25">
      <c r="A36" s="47" t="s">
        <v>27</v>
      </c>
      <c r="B36" s="19"/>
      <c r="C36" s="19"/>
      <c r="D36" s="2"/>
      <c r="E36"/>
    </row>
    <row r="37" spans="1:7" ht="20.25" customHeight="1" x14ac:dyDescent="0.25">
      <c r="A37" s="47" t="s">
        <v>28</v>
      </c>
      <c r="B37" s="19"/>
      <c r="C37" s="19"/>
      <c r="D37" s="2"/>
      <c r="E37"/>
    </row>
    <row r="38" spans="1:7" ht="20.25" customHeight="1" x14ac:dyDescent="0.25">
      <c r="A38" s="47" t="s">
        <v>29</v>
      </c>
      <c r="B38" t="s">
        <v>79</v>
      </c>
      <c r="C38" t="s">
        <v>82</v>
      </c>
      <c r="D38" s="2"/>
      <c r="E38"/>
    </row>
    <row r="39" spans="1:7" ht="20.25" customHeight="1" x14ac:dyDescent="0.25">
      <c r="A39" s="47" t="s">
        <v>57</v>
      </c>
      <c r="B39" t="s">
        <v>82</v>
      </c>
      <c r="C39" s="19"/>
      <c r="D39" s="2"/>
      <c r="E39"/>
      <c r="G39" s="61" t="s">
        <v>105</v>
      </c>
    </row>
    <row r="40" spans="1:7" ht="20.25" customHeight="1" x14ac:dyDescent="0.25">
      <c r="A40" s="47" t="s">
        <v>30</v>
      </c>
      <c r="B40" t="s">
        <v>176</v>
      </c>
      <c r="C40" s="19"/>
      <c r="D40" s="2"/>
      <c r="E40"/>
      <c r="G40" t="s">
        <v>65</v>
      </c>
    </row>
    <row r="41" spans="1:7" ht="20.25" customHeight="1" x14ac:dyDescent="0.25">
      <c r="A41" s="47" t="s">
        <v>31</v>
      </c>
      <c r="B41" t="s">
        <v>176</v>
      </c>
      <c r="C41" s="19"/>
      <c r="D41" s="2"/>
      <c r="E41"/>
      <c r="G41" t="s">
        <v>66</v>
      </c>
    </row>
    <row r="42" spans="1:7" ht="20.25" customHeight="1" x14ac:dyDescent="0.25">
      <c r="A42" s="47" t="s">
        <v>32</v>
      </c>
      <c r="B42" t="s">
        <v>176</v>
      </c>
      <c r="C42" s="19"/>
      <c r="D42" s="2"/>
      <c r="E42"/>
      <c r="G42" t="s">
        <v>67</v>
      </c>
    </row>
    <row r="43" spans="1:7" ht="20.25" customHeight="1" x14ac:dyDescent="0.25">
      <c r="A43" s="47" t="s">
        <v>33</v>
      </c>
      <c r="B43" t="s">
        <v>79</v>
      </c>
      <c r="C43" s="19"/>
      <c r="D43" s="2"/>
      <c r="E43"/>
      <c r="G43" t="s">
        <v>68</v>
      </c>
    </row>
    <row r="44" spans="1:7" ht="20.25" customHeight="1" x14ac:dyDescent="0.25">
      <c r="A44" s="47" t="s">
        <v>34</v>
      </c>
      <c r="B44" s="19" t="s">
        <v>87</v>
      </c>
      <c r="C44" s="19"/>
      <c r="D44" s="2"/>
      <c r="E44"/>
      <c r="G44" t="s">
        <v>69</v>
      </c>
    </row>
    <row r="45" spans="1:7" ht="20.25" customHeight="1" x14ac:dyDescent="0.25">
      <c r="A45" s="47" t="s">
        <v>35</v>
      </c>
      <c r="B45" t="s">
        <v>62</v>
      </c>
      <c r="C45" t="s">
        <v>81</v>
      </c>
      <c r="D45" s="2"/>
      <c r="E45"/>
      <c r="G45" t="s">
        <v>70</v>
      </c>
    </row>
    <row r="46" spans="1:7" ht="20.25" customHeight="1" x14ac:dyDescent="0.25">
      <c r="A46" s="49" t="s">
        <v>36</v>
      </c>
      <c r="B46" s="32"/>
      <c r="C46" s="32"/>
      <c r="D46" s="2"/>
      <c r="E46"/>
      <c r="G46" t="s">
        <v>71</v>
      </c>
    </row>
    <row r="47" spans="1:7" ht="20.25" customHeight="1" x14ac:dyDescent="0.25">
      <c r="A47" s="50" t="s">
        <v>37</v>
      </c>
      <c r="B47" s="34"/>
      <c r="C47" s="35"/>
      <c r="D47" s="2"/>
      <c r="E47"/>
    </row>
    <row r="48" spans="1:7" ht="20.25" customHeight="1" x14ac:dyDescent="0.25">
      <c r="A48" s="51" t="s">
        <v>38</v>
      </c>
      <c r="B48" t="s">
        <v>59</v>
      </c>
      <c r="C48" s="19"/>
      <c r="D48"/>
      <c r="E48"/>
      <c r="G48" s="61" t="s">
        <v>72</v>
      </c>
    </row>
    <row r="49" spans="1:7" ht="20.25" customHeight="1" x14ac:dyDescent="0.25">
      <c r="A49" s="52" t="s">
        <v>39</v>
      </c>
      <c r="B49" t="s">
        <v>80</v>
      </c>
      <c r="C49" s="19"/>
      <c r="D49"/>
      <c r="E49"/>
      <c r="G49" t="s">
        <v>86</v>
      </c>
    </row>
    <row r="50" spans="1:7" ht="20.25" customHeight="1" x14ac:dyDescent="0.25">
      <c r="A50" s="51" t="s">
        <v>53</v>
      </c>
      <c r="B50" s="6"/>
      <c r="C50" s="19"/>
      <c r="D50"/>
      <c r="E50"/>
      <c r="G50" t="s">
        <v>88</v>
      </c>
    </row>
    <row r="51" spans="1:7" ht="20.25" customHeight="1" x14ac:dyDescent="0.25">
      <c r="A51" s="52" t="s">
        <v>40</v>
      </c>
      <c r="B51" s="6"/>
      <c r="C51" s="19"/>
      <c r="D51"/>
      <c r="E51"/>
      <c r="G51" t="s">
        <v>73</v>
      </c>
    </row>
    <row r="52" spans="1:7" ht="20.25" customHeight="1" x14ac:dyDescent="0.25">
      <c r="A52" s="51" t="s">
        <v>41</v>
      </c>
      <c r="B52" s="6"/>
      <c r="C52" s="19"/>
      <c r="D52"/>
      <c r="E52"/>
      <c r="G52" t="s">
        <v>74</v>
      </c>
    </row>
    <row r="53" spans="1:7" ht="20.25" customHeight="1" x14ac:dyDescent="0.25">
      <c r="A53" s="52" t="s">
        <v>42</v>
      </c>
      <c r="B53" s="6"/>
      <c r="C53" s="19"/>
      <c r="D53"/>
      <c r="E53"/>
      <c r="G53" t="s">
        <v>75</v>
      </c>
    </row>
    <row r="54" spans="1:7" ht="20.25" customHeight="1" x14ac:dyDescent="0.25">
      <c r="A54" s="51" t="s">
        <v>43</v>
      </c>
      <c r="B54" s="6"/>
      <c r="C54" s="19"/>
      <c r="D54"/>
      <c r="E54"/>
      <c r="G54" t="s">
        <v>76</v>
      </c>
    </row>
    <row r="55" spans="1:7" ht="20.25" customHeight="1" x14ac:dyDescent="0.25">
      <c r="A55" s="52" t="s">
        <v>44</v>
      </c>
      <c r="B55" s="6"/>
      <c r="C55" s="19"/>
      <c r="D55"/>
      <c r="E55"/>
      <c r="G55" t="s">
        <v>77</v>
      </c>
    </row>
    <row r="56" spans="1:7" ht="20.25" customHeight="1" x14ac:dyDescent="0.25">
      <c r="A56" s="51" t="s">
        <v>45</v>
      </c>
      <c r="B56" s="19"/>
      <c r="C56" s="19"/>
      <c r="D56"/>
      <c r="E56"/>
      <c r="G56" t="s">
        <v>78</v>
      </c>
    </row>
    <row r="57" spans="1:7" ht="20.25" customHeight="1" x14ac:dyDescent="0.25">
      <c r="A57" t="s">
        <v>170</v>
      </c>
      <c r="B57" t="s">
        <v>87</v>
      </c>
      <c r="C57" s="19"/>
      <c r="D57" s="19"/>
      <c r="E57"/>
    </row>
    <row r="58" spans="1:7" ht="20.25" customHeight="1" x14ac:dyDescent="0.25">
      <c r="A58" s="47" t="s">
        <v>169</v>
      </c>
      <c r="B58" t="s">
        <v>87</v>
      </c>
      <c r="C58" s="19"/>
      <c r="D58" s="2"/>
      <c r="E58"/>
    </row>
    <row r="59" spans="1:7" ht="20.25" customHeight="1" x14ac:dyDescent="0.25">
      <c r="A59" t="s">
        <v>171</v>
      </c>
      <c r="B59" t="s">
        <v>59</v>
      </c>
      <c r="C59" s="19"/>
      <c r="D59" s="2"/>
      <c r="E59"/>
    </row>
    <row r="60" spans="1:7" ht="20.25" customHeight="1" x14ac:dyDescent="0.25">
      <c r="A60" s="47" t="s">
        <v>172</v>
      </c>
      <c r="B60" t="s">
        <v>89</v>
      </c>
      <c r="C60" s="19"/>
      <c r="D60" s="2"/>
      <c r="E60"/>
    </row>
    <row r="61" spans="1:7" ht="20.25" customHeight="1" x14ac:dyDescent="0.25">
      <c r="A61" s="47" t="s">
        <v>173</v>
      </c>
      <c r="B61" t="s">
        <v>89</v>
      </c>
      <c r="C61" t="s">
        <v>61</v>
      </c>
      <c r="D61" s="2"/>
      <c r="E61"/>
    </row>
    <row r="62" spans="1:7" ht="20.25" customHeight="1" x14ac:dyDescent="0.25">
      <c r="A62" t="s">
        <v>174</v>
      </c>
      <c r="B62" t="s">
        <v>61</v>
      </c>
      <c r="C62" s="19"/>
      <c r="D62" s="2"/>
      <c r="E62"/>
    </row>
    <row r="63" spans="1:7" ht="20.25" customHeight="1" x14ac:dyDescent="0.25">
      <c r="A63" t="s">
        <v>175</v>
      </c>
      <c r="B63" t="s">
        <v>62</v>
      </c>
      <c r="C63" s="19"/>
      <c r="D63" s="19"/>
      <c r="E63"/>
    </row>
    <row r="64" spans="1:7" ht="20.25" customHeight="1" x14ac:dyDescent="0.25">
      <c r="A64" t="s">
        <v>84</v>
      </c>
      <c r="B64" t="s">
        <v>83</v>
      </c>
      <c r="C64" s="19"/>
      <c r="D64" s="19"/>
      <c r="E64"/>
    </row>
    <row r="65" spans="1:5" ht="20.25" customHeight="1" x14ac:dyDescent="0.25">
      <c r="A65"/>
      <c r="B65"/>
      <c r="C65"/>
      <c r="D65"/>
      <c r="E65"/>
    </row>
    <row r="66" spans="1:5" ht="20.25" customHeight="1" x14ac:dyDescent="0.25">
      <c r="A66"/>
      <c r="B66"/>
      <c r="C66"/>
      <c r="D66"/>
      <c r="E66"/>
    </row>
    <row r="67" spans="1:5" x14ac:dyDescent="0.25">
      <c r="C67"/>
      <c r="D67"/>
      <c r="E67"/>
    </row>
    <row r="68" spans="1:5" x14ac:dyDescent="0.25">
      <c r="A68"/>
      <c r="B68"/>
      <c r="C68"/>
      <c r="D68"/>
      <c r="E68"/>
    </row>
    <row r="69" spans="1:5" x14ac:dyDescent="0.25">
      <c r="A69"/>
      <c r="B69"/>
      <c r="C69"/>
      <c r="D69"/>
      <c r="E69"/>
    </row>
    <row r="70" spans="1:5" x14ac:dyDescent="0.25">
      <c r="A70"/>
      <c r="B70"/>
      <c r="C70"/>
      <c r="D70"/>
      <c r="E70"/>
    </row>
    <row r="71" spans="1:5" x14ac:dyDescent="0.25">
      <c r="A71"/>
      <c r="B71"/>
      <c r="C71"/>
      <c r="D71"/>
      <c r="E71"/>
    </row>
    <row r="72" spans="1:5" x14ac:dyDescent="0.25">
      <c r="E72"/>
    </row>
    <row r="73" spans="1:5" x14ac:dyDescent="0.25">
      <c r="E73"/>
    </row>
    <row r="74" spans="1:5" x14ac:dyDescent="0.25">
      <c r="A74" s="54" t="s">
        <v>46</v>
      </c>
      <c r="B74" s="8" t="s">
        <v>159</v>
      </c>
      <c r="C74" s="8" t="s">
        <v>166</v>
      </c>
      <c r="D74"/>
      <c r="E74"/>
    </row>
    <row r="75" spans="1:5" x14ac:dyDescent="0.25">
      <c r="A75" s="55" t="s">
        <v>47</v>
      </c>
      <c r="B75" t="s">
        <v>60</v>
      </c>
      <c r="C75" t="s">
        <v>81</v>
      </c>
      <c r="D75"/>
      <c r="E75"/>
    </row>
    <row r="76" spans="1:5" x14ac:dyDescent="0.25">
      <c r="A76" s="56" t="s">
        <v>48</v>
      </c>
      <c r="B76" t="s">
        <v>59</v>
      </c>
      <c r="C76" t="s">
        <v>89</v>
      </c>
      <c r="D76"/>
      <c r="E76"/>
    </row>
    <row r="77" spans="1:5" x14ac:dyDescent="0.25">
      <c r="A77" s="55" t="s">
        <v>49</v>
      </c>
      <c r="B77" s="11"/>
      <c r="C77" s="11"/>
      <c r="D77"/>
      <c r="E77"/>
    </row>
    <row r="78" spans="1:5" ht="31.5" x14ac:dyDescent="0.25">
      <c r="A78" s="56" t="s">
        <v>162</v>
      </c>
      <c r="B78" s="2"/>
      <c r="C78" s="11"/>
      <c r="D78"/>
      <c r="E78"/>
    </row>
    <row r="79" spans="1:5" x14ac:dyDescent="0.25">
      <c r="A79" s="55" t="s">
        <v>51</v>
      </c>
      <c r="B79" s="11"/>
      <c r="C79" s="11"/>
      <c r="D79"/>
      <c r="E79"/>
    </row>
    <row r="80" spans="1:5" x14ac:dyDescent="0.25">
      <c r="A80" s="56" t="s">
        <v>15</v>
      </c>
      <c r="B80" t="s">
        <v>64</v>
      </c>
      <c r="C80" s="11"/>
      <c r="D80"/>
      <c r="E80"/>
    </row>
    <row r="81" spans="1:5" x14ac:dyDescent="0.25">
      <c r="A81" s="57" t="s">
        <v>6</v>
      </c>
      <c r="B81" t="s">
        <v>59</v>
      </c>
      <c r="C81" s="11"/>
      <c r="D81"/>
      <c r="E81"/>
    </row>
    <row r="82" spans="1:5" ht="63" x14ac:dyDescent="0.25">
      <c r="A82" s="55" t="s">
        <v>151</v>
      </c>
      <c r="B82" t="s">
        <v>165</v>
      </c>
      <c r="C82" s="37" t="s">
        <v>164</v>
      </c>
      <c r="D82"/>
      <c r="E82"/>
    </row>
    <row r="83" spans="1:5" ht="63" x14ac:dyDescent="0.25">
      <c r="A83" s="55" t="s">
        <v>152</v>
      </c>
      <c r="B83" t="s">
        <v>165</v>
      </c>
      <c r="C83" s="37" t="s">
        <v>164</v>
      </c>
      <c r="D83"/>
      <c r="E83"/>
    </row>
    <row r="84" spans="1:5" ht="63" x14ac:dyDescent="0.25">
      <c r="A84" s="57" t="s">
        <v>153</v>
      </c>
      <c r="B84" t="s">
        <v>165</v>
      </c>
      <c r="C84" s="37" t="s">
        <v>164</v>
      </c>
      <c r="D84"/>
      <c r="E84"/>
    </row>
    <row r="85" spans="1:5" x14ac:dyDescent="0.25">
      <c r="A85" s="53"/>
      <c r="B85"/>
      <c r="C85"/>
      <c r="D85"/>
      <c r="E85"/>
    </row>
    <row r="86" spans="1:5" x14ac:dyDescent="0.25">
      <c r="A86" s="53"/>
      <c r="B86"/>
      <c r="C86"/>
      <c r="D86"/>
    </row>
    <row r="87" spans="1:5" x14ac:dyDescent="0.25">
      <c r="A87" s="58" t="s">
        <v>158</v>
      </c>
      <c r="B87" s="39" t="s">
        <v>159</v>
      </c>
      <c r="C87" s="40" t="s">
        <v>166</v>
      </c>
      <c r="D87"/>
    </row>
    <row r="88" spans="1:5" x14ac:dyDescent="0.25">
      <c r="A88" s="55" t="s">
        <v>154</v>
      </c>
      <c r="B88" t="s">
        <v>79</v>
      </c>
      <c r="C88"/>
      <c r="D88"/>
    </row>
    <row r="89" spans="1:5" x14ac:dyDescent="0.25">
      <c r="A89" s="56" t="s">
        <v>155</v>
      </c>
      <c r="B89" t="s">
        <v>79</v>
      </c>
      <c r="C89"/>
      <c r="D89"/>
    </row>
    <row r="90" spans="1:5" x14ac:dyDescent="0.25">
      <c r="A90" s="55" t="s">
        <v>156</v>
      </c>
      <c r="B90" t="s">
        <v>87</v>
      </c>
      <c r="C90"/>
      <c r="D90"/>
    </row>
    <row r="91" spans="1:5" x14ac:dyDescent="0.25">
      <c r="A91" s="56" t="s">
        <v>157</v>
      </c>
      <c r="B91" t="s">
        <v>79</v>
      </c>
      <c r="C91" t="s">
        <v>82</v>
      </c>
      <c r="D91"/>
    </row>
    <row r="92" spans="1:5" x14ac:dyDescent="0.25">
      <c r="A92" s="53"/>
      <c r="B92"/>
      <c r="C92"/>
      <c r="D92"/>
    </row>
    <row r="93" spans="1:5" x14ac:dyDescent="0.25">
      <c r="A93" s="53"/>
      <c r="B93"/>
      <c r="C93"/>
      <c r="D93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E1E98-6E5E-4C12-AE5C-6CAB31671103}">
  <sheetPr codeName="Sheet5"/>
  <dimension ref="A1:L1048566"/>
  <sheetViews>
    <sheetView topLeftCell="A19" workbookViewId="0">
      <selection activeCell="D9" sqref="D9"/>
    </sheetView>
  </sheetViews>
  <sheetFormatPr defaultRowHeight="15.75" x14ac:dyDescent="0.25"/>
  <cols>
    <col min="1" max="1" width="22.5" bestFit="1" customWidth="1"/>
    <col min="2" max="3" width="9" style="65" customWidth="1"/>
    <col min="4" max="5" width="9" style="65"/>
    <col min="6" max="6" width="9" style="64"/>
    <col min="7" max="7" width="9" style="14"/>
  </cols>
  <sheetData>
    <row r="1" spans="1:9" x14ac:dyDescent="0.25">
      <c r="A1" s="94" t="s">
        <v>181</v>
      </c>
      <c r="B1" s="65" t="s">
        <v>113</v>
      </c>
      <c r="C1" s="65" t="s">
        <v>132</v>
      </c>
      <c r="D1" s="65" t="s">
        <v>118</v>
      </c>
      <c r="F1" s="64" t="s">
        <v>112</v>
      </c>
      <c r="G1" s="66" t="s">
        <v>114</v>
      </c>
    </row>
    <row r="2" spans="1:9" x14ac:dyDescent="0.25">
      <c r="A2" s="16" t="s">
        <v>125</v>
      </c>
      <c r="B2" s="65">
        <v>24.69</v>
      </c>
      <c r="C2" s="65">
        <f t="shared" ref="C2:C7" si="0">+B2*1.1</f>
        <v>27.159000000000002</v>
      </c>
      <c r="D2" s="65">
        <f>+C2/200</f>
        <v>0.135795</v>
      </c>
      <c r="E2" s="65" t="s">
        <v>126</v>
      </c>
      <c r="F2" s="65">
        <v>0.12</v>
      </c>
      <c r="G2" s="66"/>
    </row>
    <row r="3" spans="1:9" x14ac:dyDescent="0.25">
      <c r="A3" s="16" t="s">
        <v>122</v>
      </c>
      <c r="B3" s="65">
        <v>26.99</v>
      </c>
      <c r="C3" s="65">
        <f t="shared" si="0"/>
        <v>29.689</v>
      </c>
      <c r="D3" s="65">
        <f>+C3/30</f>
        <v>0.98963333333333336</v>
      </c>
      <c r="E3" s="65" t="s">
        <v>126</v>
      </c>
      <c r="F3" s="65">
        <v>0.9</v>
      </c>
      <c r="G3" s="66"/>
    </row>
    <row r="4" spans="1:9" x14ac:dyDescent="0.25">
      <c r="A4" s="16" t="s">
        <v>123</v>
      </c>
      <c r="B4" s="65">
        <v>1.68</v>
      </c>
      <c r="C4" s="65">
        <f t="shared" si="0"/>
        <v>1.8480000000000001</v>
      </c>
      <c r="D4" s="65">
        <f>+C4/315</f>
        <v>5.8666666666666667E-3</v>
      </c>
      <c r="E4" s="65" t="s">
        <v>126</v>
      </c>
      <c r="F4" s="65">
        <v>0.01</v>
      </c>
      <c r="G4" s="66"/>
    </row>
    <row r="5" spans="1:9" x14ac:dyDescent="0.25">
      <c r="A5" s="16" t="s">
        <v>121</v>
      </c>
      <c r="B5" s="65">
        <v>17.09</v>
      </c>
      <c r="C5" s="65">
        <f t="shared" si="0"/>
        <v>18.799000000000003</v>
      </c>
      <c r="D5" s="65">
        <f>+C5/50</f>
        <v>0.37598000000000004</v>
      </c>
      <c r="E5" s="65" t="s">
        <v>126</v>
      </c>
      <c r="F5" s="65">
        <v>0.37</v>
      </c>
      <c r="G5" s="66"/>
    </row>
    <row r="6" spans="1:9" x14ac:dyDescent="0.25">
      <c r="A6" t="s">
        <v>107</v>
      </c>
      <c r="F6" s="65"/>
      <c r="G6" s="66"/>
    </row>
    <row r="7" spans="1:9" x14ac:dyDescent="0.25">
      <c r="A7" s="16" t="s">
        <v>120</v>
      </c>
      <c r="B7" s="65">
        <v>19.93</v>
      </c>
      <c r="C7" s="65">
        <f t="shared" si="0"/>
        <v>21.923000000000002</v>
      </c>
      <c r="D7" s="65">
        <f>+C7/6</f>
        <v>3.6538333333333335</v>
      </c>
      <c r="E7" s="65" t="s">
        <v>126</v>
      </c>
      <c r="F7" s="65">
        <v>3.32</v>
      </c>
      <c r="G7" s="66">
        <v>4</v>
      </c>
      <c r="I7" s="227">
        <f>SUM(F2:F7)</f>
        <v>4.72</v>
      </c>
    </row>
    <row r="8" spans="1:9" x14ac:dyDescent="0.25">
      <c r="A8" s="16" t="s">
        <v>184</v>
      </c>
      <c r="B8" s="65">
        <v>3.98</v>
      </c>
      <c r="C8" s="65">
        <f>+B8*1.1</f>
        <v>4.3780000000000001</v>
      </c>
      <c r="D8" s="65">
        <f>+C8/100</f>
        <v>4.3779999999999999E-2</v>
      </c>
      <c r="E8" s="65" t="s">
        <v>183</v>
      </c>
      <c r="F8" s="65">
        <v>3.98</v>
      </c>
      <c r="G8" s="66">
        <v>5</v>
      </c>
    </row>
    <row r="9" spans="1:9" x14ac:dyDescent="0.25">
      <c r="A9" s="16" t="s">
        <v>124</v>
      </c>
      <c r="B9" s="65">
        <v>21.99</v>
      </c>
      <c r="C9" s="65">
        <f>+B9*1.1</f>
        <v>24.189</v>
      </c>
      <c r="D9" s="65">
        <f>+C9/100</f>
        <v>0.24188999999999999</v>
      </c>
      <c r="E9" s="65" t="s">
        <v>128</v>
      </c>
      <c r="F9" s="65">
        <f>10*0.22</f>
        <v>2.2000000000000002</v>
      </c>
      <c r="G9" s="66"/>
    </row>
    <row r="10" spans="1:9" x14ac:dyDescent="0.25">
      <c r="A10" s="16" t="s">
        <v>117</v>
      </c>
      <c r="B10" s="65">
        <v>17.989999999999998</v>
      </c>
      <c r="C10" s="65">
        <f>+B10*1.1</f>
        <v>19.789000000000001</v>
      </c>
      <c r="D10" s="65">
        <f>+C10/100</f>
        <v>0.19789000000000001</v>
      </c>
      <c r="E10" s="65" t="s">
        <v>129</v>
      </c>
      <c r="F10" s="65">
        <f>0.18*2</f>
        <v>0.36</v>
      </c>
      <c r="G10" s="66"/>
    </row>
    <row r="11" spans="1:9" x14ac:dyDescent="0.25">
      <c r="A11" s="16" t="s">
        <v>119</v>
      </c>
      <c r="B11" s="65">
        <v>3.79</v>
      </c>
      <c r="C11" s="65">
        <f>+B11*1.1</f>
        <v>4.1690000000000005</v>
      </c>
      <c r="D11" s="65">
        <f>+C11/14</f>
        <v>0.29778571428571432</v>
      </c>
      <c r="E11" s="65" t="s">
        <v>126</v>
      </c>
      <c r="F11" s="65">
        <v>0.27</v>
      </c>
      <c r="G11" s="66"/>
    </row>
    <row r="12" spans="1:9" x14ac:dyDescent="0.25">
      <c r="A12" s="16" t="s">
        <v>182</v>
      </c>
      <c r="B12" s="65">
        <v>9.99</v>
      </c>
      <c r="D12" s="65">
        <f>+B12/100</f>
        <v>9.9900000000000003E-2</v>
      </c>
      <c r="E12" s="65" t="s">
        <v>127</v>
      </c>
    </row>
    <row r="13" spans="1:9" x14ac:dyDescent="0.25">
      <c r="A13" s="16" t="s">
        <v>115</v>
      </c>
      <c r="B13" s="65">
        <v>30</v>
      </c>
      <c r="C13" s="65">
        <f>+B13*1.1</f>
        <v>33</v>
      </c>
      <c r="D13" s="65">
        <f>C13/10</f>
        <v>3.3</v>
      </c>
      <c r="E13" s="65" t="s">
        <v>127</v>
      </c>
      <c r="G13" s="66">
        <v>10</v>
      </c>
    </row>
    <row r="14" spans="1:9" x14ac:dyDescent="0.25">
      <c r="A14" s="16" t="s">
        <v>116</v>
      </c>
      <c r="B14" s="65">
        <v>30</v>
      </c>
      <c r="C14" s="65">
        <f>+B14*1.1</f>
        <v>33</v>
      </c>
      <c r="D14" s="65">
        <f>+C14/10</f>
        <v>3.3</v>
      </c>
      <c r="E14" s="65" t="s">
        <v>127</v>
      </c>
      <c r="G14" s="66">
        <v>10</v>
      </c>
    </row>
    <row r="15" spans="1:9" x14ac:dyDescent="0.25">
      <c r="A15" s="16" t="s">
        <v>130</v>
      </c>
      <c r="B15" s="65">
        <v>20.13</v>
      </c>
      <c r="C15" s="65">
        <f>+B15*1.1</f>
        <v>22.143000000000001</v>
      </c>
      <c r="D15" s="65">
        <f>+C15/4</f>
        <v>5.5357500000000002</v>
      </c>
      <c r="E15" s="65" t="s">
        <v>127</v>
      </c>
      <c r="G15" s="66">
        <v>10</v>
      </c>
    </row>
    <row r="16" spans="1:9" x14ac:dyDescent="0.25">
      <c r="A16" s="16" t="s">
        <v>131</v>
      </c>
      <c r="B16" s="65">
        <v>25.99</v>
      </c>
      <c r="C16" s="65">
        <f>+B16*1.1</f>
        <v>28.589000000000002</v>
      </c>
      <c r="D16" s="65">
        <f>+C16/6</f>
        <v>4.7648333333333337</v>
      </c>
      <c r="E16" s="65" t="s">
        <v>127</v>
      </c>
      <c r="G16" s="66">
        <v>10</v>
      </c>
    </row>
    <row r="17" spans="1:12" x14ac:dyDescent="0.25">
      <c r="A17" s="16"/>
    </row>
    <row r="18" spans="1:12" x14ac:dyDescent="0.25">
      <c r="A18" s="16"/>
    </row>
    <row r="21" spans="1:12" x14ac:dyDescent="0.25">
      <c r="A21" s="226" t="s">
        <v>178</v>
      </c>
      <c r="B21" s="65" t="s">
        <v>186</v>
      </c>
      <c r="G21" s="66"/>
    </row>
    <row r="22" spans="1:12" x14ac:dyDescent="0.25">
      <c r="A22" t="s">
        <v>179</v>
      </c>
      <c r="D22" s="65">
        <v>45</v>
      </c>
      <c r="E22" s="65" t="s">
        <v>127</v>
      </c>
      <c r="G22" s="66">
        <v>85</v>
      </c>
    </row>
    <row r="23" spans="1:12" x14ac:dyDescent="0.25">
      <c r="A23" t="s">
        <v>237</v>
      </c>
      <c r="B23" s="65">
        <f>0.6*100</f>
        <v>60</v>
      </c>
      <c r="D23" s="65">
        <f>+B23/100</f>
        <v>0.6</v>
      </c>
      <c r="E23" s="65" t="s">
        <v>127</v>
      </c>
      <c r="G23" s="66">
        <v>2</v>
      </c>
      <c r="H23" t="s">
        <v>180</v>
      </c>
      <c r="L23" s="208">
        <v>46114</v>
      </c>
    </row>
    <row r="24" spans="1:12" x14ac:dyDescent="0.25">
      <c r="A24" t="s">
        <v>239</v>
      </c>
      <c r="B24" s="65">
        <v>34</v>
      </c>
      <c r="D24" s="65">
        <f>+B24/100</f>
        <v>0.34</v>
      </c>
      <c r="E24" s="65" t="s">
        <v>127</v>
      </c>
      <c r="G24" s="66"/>
    </row>
    <row r="25" spans="1:12" x14ac:dyDescent="0.25">
      <c r="A25" t="s">
        <v>238</v>
      </c>
      <c r="B25" s="65">
        <v>100</v>
      </c>
      <c r="D25" s="65">
        <f>+B25/1000</f>
        <v>0.1</v>
      </c>
      <c r="E25" s="65" t="s">
        <v>127</v>
      </c>
      <c r="G25" s="66"/>
      <c r="L25" s="208">
        <v>46114</v>
      </c>
    </row>
    <row r="26" spans="1:12" x14ac:dyDescent="0.25">
      <c r="A26" t="s">
        <v>185</v>
      </c>
    </row>
    <row r="28" spans="1:12" x14ac:dyDescent="0.25">
      <c r="A28" s="235" t="s">
        <v>264</v>
      </c>
    </row>
    <row r="29" spans="1:12" x14ac:dyDescent="0.25">
      <c r="A29" t="s">
        <v>265</v>
      </c>
      <c r="B29" s="65">
        <v>24.99</v>
      </c>
      <c r="D29" s="65">
        <f>+B29/75</f>
        <v>0.3332</v>
      </c>
    </row>
    <row r="35" spans="2:7" x14ac:dyDescent="0.25">
      <c r="G35" s="63"/>
    </row>
    <row r="36" spans="2:7" x14ac:dyDescent="0.25">
      <c r="F36" s="225"/>
    </row>
    <row r="38" spans="2:7" x14ac:dyDescent="0.25">
      <c r="B38" s="64"/>
    </row>
    <row r="1048566" spans="2:4" x14ac:dyDescent="0.25">
      <c r="B1048566" s="65">
        <f>SUM(B1:B1048565)</f>
        <v>473.23</v>
      </c>
      <c r="D1048566" s="65">
        <f>SUM(D1:D1048565)</f>
        <v>69.31613738095237</v>
      </c>
    </row>
  </sheetData>
  <sheetProtection algorithmName="SHA-512" hashValue="V4D6DH7SKx8NfAFMszsjifDg0AwkDovrYkft/mV51zDiYdztO5DiXLwphPF6yYjHvlvQYrPs0i3iHiAZnvBl+A==" saltValue="kyok5QXmPvz3VvBRSPG/8g==" spinCount="100000" sheet="1" objects="1" scenarios="1"/>
  <hyperlinks>
    <hyperlink ref="A13" r:id="rId1" display="10ml BAC" xr:uid="{D4895DB7-0618-4AEA-846D-C80AC28B5846}"/>
    <hyperlink ref="A11" r:id="rId2" display="Vial Cap" xr:uid="{ADEEA8B6-5078-4556-9E77-B12B740B41A3}"/>
    <hyperlink ref="A7" r:id="rId3" display="Pencil Case" xr:uid="{FAB7B755-9D79-4B38-807A-C77B6C333B98}"/>
    <hyperlink ref="A5" r:id="rId4" display="Gift Bag" xr:uid="{D73C4195-361A-4262-96DD-F0F1576E2F5B}"/>
    <hyperlink ref="A9" r:id="rId5" display="Orange Syrnge" xr:uid="{C2F951A1-7979-4B86-B37E-CCE82D40C8C8}"/>
    <hyperlink ref="A3" r:id="rId6" display="Mailer" xr:uid="{35DCC9C7-9A34-4AAF-A721-FAF788F5C1BC}"/>
    <hyperlink ref="A4" r:id="rId7" display="Labels(1 sheet)" xr:uid="{8BFBE3A3-FFE5-4C81-875E-EDEED95DBF3C}"/>
    <hyperlink ref="A2" r:id="rId8" display="Bubble Wrap" xr:uid="{0492EA82-A6A2-4D29-9147-5E3DF644E67F}"/>
    <hyperlink ref="A8" r:id="rId9" display="Alcohol Prep" xr:uid="{F9BB03F6-05DB-4253-96C7-4B437F323DE7}"/>
    <hyperlink ref="A10" r:id="rId10" display="blue syringe (2)" xr:uid="{E2A07CF7-DBA7-47E5-BD6B-DFDC6AB3058D}"/>
    <hyperlink ref="A14" r:id="rId11" display="BAC (2)" xr:uid="{E19748BD-3DC0-44A9-B077-ED11A11F1B2E}"/>
    <hyperlink ref="A16" r:id="rId12" xr:uid="{877F238F-1069-4409-8E63-138B2FF45F2E}"/>
    <hyperlink ref="A12" r:id="rId13" display="Peptide Needles " xr:uid="{56DD599E-04FF-4863-859D-7DA7F35DA38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D8E2E-6BE8-4694-A407-5C8AA2A0BBCC}">
  <sheetPr codeName="Sheet6">
    <pageSetUpPr fitToPage="1"/>
  </sheetPr>
  <dimension ref="A1:T182"/>
  <sheetViews>
    <sheetView tabSelected="1" zoomScaleNormal="100" workbookViewId="0">
      <selection activeCell="B20" sqref="B20"/>
    </sheetView>
  </sheetViews>
  <sheetFormatPr defaultColWidth="10.625" defaultRowHeight="15.75" x14ac:dyDescent="0.25"/>
  <cols>
    <col min="1" max="1" width="11.75" customWidth="1"/>
    <col min="4" max="4" width="10.625" style="67"/>
    <col min="5" max="6" width="10.625" style="62"/>
    <col min="7" max="7" width="5.625" style="13" customWidth="1"/>
    <col min="8" max="8" width="10.625" style="96" customWidth="1"/>
    <col min="9" max="11" width="10.625" style="62" customWidth="1"/>
    <col min="12" max="13" width="10.625" customWidth="1"/>
  </cols>
  <sheetData>
    <row r="1" spans="1:18" ht="26.25" x14ac:dyDescent="0.55000000000000004">
      <c r="A1" s="234" t="s">
        <v>495</v>
      </c>
      <c r="B1" s="236"/>
      <c r="C1" s="236"/>
      <c r="E1" s="398"/>
      <c r="G1" s="95"/>
      <c r="H1" s="13"/>
      <c r="I1" s="429"/>
      <c r="J1" s="442"/>
      <c r="K1" s="287"/>
      <c r="N1" s="154" t="s">
        <v>203</v>
      </c>
    </row>
    <row r="2" spans="1:18" s="98" customFormat="1" x14ac:dyDescent="0.25">
      <c r="A2" s="395" t="s">
        <v>142</v>
      </c>
      <c r="B2" s="200">
        <f>'Pep Costs'!B43</f>
        <v>140</v>
      </c>
      <c r="D2" s="113"/>
      <c r="E2" s="660" t="s">
        <v>370</v>
      </c>
      <c r="F2" s="119"/>
      <c r="G2" s="113"/>
      <c r="H2" s="662" t="s">
        <v>241</v>
      </c>
      <c r="I2" s="663"/>
      <c r="J2" s="663"/>
      <c r="K2" s="663"/>
      <c r="L2" s="663"/>
      <c r="N2" s="155" t="s">
        <v>187</v>
      </c>
      <c r="O2" s="117"/>
      <c r="P2" s="117"/>
      <c r="Q2" s="117"/>
      <c r="R2" s="117"/>
    </row>
    <row r="3" spans="1:18" s="98" customFormat="1" ht="18.75" customHeight="1" x14ac:dyDescent="0.25">
      <c r="A3" s="396" t="s">
        <v>185</v>
      </c>
      <c r="B3" s="142">
        <v>3.3</v>
      </c>
      <c r="D3" s="391" t="s">
        <v>348</v>
      </c>
      <c r="E3" s="661"/>
      <c r="F3" s="119"/>
      <c r="G3" s="113"/>
      <c r="H3" s="663"/>
      <c r="I3" s="663"/>
      <c r="J3" s="663"/>
      <c r="K3" s="663"/>
      <c r="L3" s="663"/>
      <c r="N3" s="155" t="s">
        <v>206</v>
      </c>
      <c r="O3" s="117"/>
      <c r="P3" s="117"/>
      <c r="Q3" s="117"/>
      <c r="R3" s="117"/>
    </row>
    <row r="4" spans="1:18" s="98" customFormat="1" x14ac:dyDescent="0.25">
      <c r="A4" s="87"/>
      <c r="B4" s="87">
        <f>SUM(B2:B3)</f>
        <v>143.30000000000001</v>
      </c>
      <c r="D4" s="391">
        <v>100</v>
      </c>
      <c r="E4" s="129">
        <f>+D4+B4</f>
        <v>243.3</v>
      </c>
      <c r="F4" s="119"/>
      <c r="G4" s="113"/>
      <c r="H4" s="663"/>
      <c r="I4" s="663"/>
      <c r="J4" s="663"/>
      <c r="K4" s="663"/>
      <c r="L4" s="663"/>
      <c r="N4" s="157"/>
      <c r="O4" s="117"/>
      <c r="P4" s="117"/>
      <c r="Q4" s="117"/>
      <c r="R4" s="117"/>
    </row>
    <row r="5" spans="1:18" s="98" customFormat="1" x14ac:dyDescent="0.25">
      <c r="A5" s="314"/>
      <c r="B5" s="87"/>
      <c r="D5" s="393"/>
      <c r="E5" s="399"/>
      <c r="F5" s="119"/>
      <c r="G5" s="113"/>
      <c r="H5" s="117"/>
      <c r="I5" s="429"/>
      <c r="J5" s="289"/>
      <c r="K5" s="152"/>
      <c r="L5" s="117"/>
      <c r="O5" s="117"/>
      <c r="P5" s="117"/>
      <c r="Q5" s="117"/>
      <c r="R5" s="117"/>
    </row>
    <row r="6" spans="1:18" s="98" customFormat="1" x14ac:dyDescent="0.25">
      <c r="A6" s="225" t="s">
        <v>189</v>
      </c>
      <c r="B6" s="87">
        <f>+B4/300</f>
        <v>0.47766666666666668</v>
      </c>
      <c r="D6" s="393"/>
      <c r="E6" s="399"/>
      <c r="F6" s="119"/>
      <c r="G6" s="397"/>
      <c r="H6" s="117"/>
      <c r="I6" s="450"/>
      <c r="J6" s="119"/>
      <c r="K6" s="152"/>
      <c r="L6" s="117"/>
      <c r="M6" s="117"/>
      <c r="N6" s="117"/>
      <c r="O6" s="117"/>
      <c r="P6" s="117"/>
      <c r="Q6" s="117"/>
      <c r="R6" s="117"/>
    </row>
    <row r="7" spans="1:18" s="117" customFormat="1" x14ac:dyDescent="0.25">
      <c r="A7" s="62"/>
      <c r="B7" s="128"/>
      <c r="D7" s="394" t="s">
        <v>189</v>
      </c>
      <c r="E7" s="399">
        <f>+E4/300</f>
        <v>0.81100000000000005</v>
      </c>
      <c r="F7" s="400"/>
      <c r="G7" s="397"/>
      <c r="I7" s="429"/>
      <c r="J7" s="289"/>
      <c r="K7" s="152"/>
    </row>
    <row r="8" spans="1:18" s="117" customFormat="1" x14ac:dyDescent="0.25">
      <c r="A8" s="62"/>
      <c r="B8" s="128"/>
      <c r="D8" s="394"/>
      <c r="E8" s="432"/>
      <c r="F8" s="400"/>
      <c r="G8" s="397"/>
      <c r="I8" s="429"/>
      <c r="J8" s="289"/>
      <c r="K8" s="152"/>
    </row>
    <row r="9" spans="1:18" s="160" customFormat="1" x14ac:dyDescent="0.25">
      <c r="A9" s="324"/>
      <c r="D9" s="325"/>
      <c r="E9" s="402"/>
      <c r="F9" s="166"/>
      <c r="H9" s="327"/>
      <c r="I9" s="166"/>
      <c r="J9" s="443"/>
      <c r="K9" s="166"/>
    </row>
    <row r="10" spans="1:18" s="160" customFormat="1" x14ac:dyDescent="0.25">
      <c r="A10" s="324"/>
      <c r="D10" s="325"/>
      <c r="E10" s="402"/>
      <c r="F10" s="166"/>
      <c r="H10" s="327"/>
      <c r="I10" s="166"/>
      <c r="J10" s="443"/>
      <c r="K10" s="166"/>
    </row>
    <row r="11" spans="1:18" s="240" customFormat="1" x14ac:dyDescent="0.25">
      <c r="A11" s="329"/>
      <c r="D11" s="330"/>
      <c r="E11" s="403"/>
      <c r="F11" s="245"/>
      <c r="H11" s="332"/>
      <c r="I11" s="245"/>
      <c r="J11" s="444"/>
      <c r="K11" s="245"/>
    </row>
    <row r="12" spans="1:18" s="98" customFormat="1" x14ac:dyDescent="0.25">
      <c r="A12" s="15"/>
      <c r="B12" s="87"/>
      <c r="C12" s="80"/>
      <c r="D12" s="115"/>
      <c r="E12" s="404"/>
      <c r="F12" s="119"/>
      <c r="G12" s="117"/>
      <c r="H12" s="80"/>
      <c r="I12" s="119"/>
      <c r="J12" s="445"/>
      <c r="K12" s="153"/>
      <c r="L12" s="117"/>
      <c r="M12" s="117"/>
      <c r="N12" s="117"/>
      <c r="O12" s="117"/>
      <c r="P12" s="117"/>
      <c r="Q12" s="117"/>
    </row>
    <row r="13" spans="1:18" s="98" customFormat="1" x14ac:dyDescent="0.25">
      <c r="A13" s="168" t="s">
        <v>218</v>
      </c>
      <c r="B13" s="87"/>
      <c r="C13" s="80"/>
      <c r="D13" s="115"/>
      <c r="E13" s="404"/>
      <c r="F13" s="119"/>
      <c r="G13" s="117"/>
      <c r="L13" s="117"/>
      <c r="M13" s="117"/>
      <c r="N13" s="117"/>
      <c r="O13" s="117"/>
      <c r="P13" s="117"/>
      <c r="Q13" s="117"/>
    </row>
    <row r="14" spans="1:18" s="98" customFormat="1" x14ac:dyDescent="0.25">
      <c r="A14" s="15"/>
      <c r="B14" s="121"/>
      <c r="C14" s="80"/>
      <c r="D14" s="115"/>
      <c r="E14" s="404"/>
      <c r="F14" s="119"/>
      <c r="G14" s="117"/>
      <c r="L14" s="117"/>
      <c r="M14" s="117"/>
      <c r="N14" s="117"/>
      <c r="O14" s="117"/>
      <c r="P14" s="117"/>
      <c r="Q14" s="117"/>
    </row>
    <row r="15" spans="1:18" s="125" customFormat="1" ht="33.75" x14ac:dyDescent="0.4">
      <c r="A15" s="473"/>
      <c r="B15" s="480" t="s">
        <v>199</v>
      </c>
      <c r="C15" s="481" t="s">
        <v>196</v>
      </c>
      <c r="D15" s="480" t="s">
        <v>197</v>
      </c>
      <c r="E15" s="482" t="s">
        <v>198</v>
      </c>
      <c r="F15" s="483" t="s">
        <v>188</v>
      </c>
      <c r="G15" s="124"/>
      <c r="H15" s="80"/>
      <c r="I15" s="119"/>
      <c r="J15" s="447" t="s">
        <v>112</v>
      </c>
      <c r="K15" s="280" t="s">
        <v>144</v>
      </c>
      <c r="L15" s="124"/>
      <c r="M15" s="124"/>
      <c r="N15" s="124"/>
      <c r="O15" s="124"/>
      <c r="P15" s="124">
        <f>204.9-195.1</f>
        <v>9.8000000000000114</v>
      </c>
      <c r="Q15" s="124"/>
    </row>
    <row r="16" spans="1:18" s="81" customFormat="1" x14ac:dyDescent="0.25">
      <c r="A16" s="306" t="s">
        <v>219</v>
      </c>
      <c r="B16" s="251" t="s">
        <v>187</v>
      </c>
      <c r="C16" s="252"/>
      <c r="D16" s="251">
        <v>15</v>
      </c>
      <c r="E16" s="474">
        <v>3</v>
      </c>
      <c r="F16" s="475">
        <f>+D16*E16</f>
        <v>45</v>
      </c>
      <c r="G16" s="83"/>
      <c r="H16" s="261">
        <f>ROUNDUP(F20,0)</f>
        <v>210</v>
      </c>
      <c r="I16" s="262" t="s">
        <v>201</v>
      </c>
      <c r="J16" s="395">
        <f>+B6*F20</f>
        <v>100.31</v>
      </c>
      <c r="K16" s="264">
        <f>+F20*E7</f>
        <v>170.31</v>
      </c>
      <c r="L16" s="83"/>
      <c r="M16" s="83"/>
      <c r="N16" s="83"/>
      <c r="O16" s="83"/>
      <c r="P16" s="83"/>
      <c r="Q16" s="83"/>
    </row>
    <row r="17" spans="1:20" s="81" customFormat="1" x14ac:dyDescent="0.25">
      <c r="A17" s="306" t="s">
        <v>219</v>
      </c>
      <c r="B17" s="251" t="s">
        <v>187</v>
      </c>
      <c r="C17" s="252"/>
      <c r="D17" s="251">
        <v>15</v>
      </c>
      <c r="E17" s="476">
        <v>4</v>
      </c>
      <c r="F17" s="475">
        <f t="shared" ref="F17:F19" si="0">+D17*E17</f>
        <v>60</v>
      </c>
      <c r="G17" s="83"/>
      <c r="H17" s="266">
        <f>E20</f>
        <v>14</v>
      </c>
      <c r="I17" s="305" t="s">
        <v>221</v>
      </c>
      <c r="J17" s="395">
        <f>+H17*0.24</f>
        <v>3.36</v>
      </c>
      <c r="K17" s="263"/>
      <c r="L17" s="83"/>
      <c r="M17" s="83"/>
      <c r="N17" s="83"/>
      <c r="O17" s="83"/>
      <c r="P17" s="83"/>
      <c r="Q17" s="83"/>
    </row>
    <row r="18" spans="1:20" s="81" customFormat="1" x14ac:dyDescent="0.25">
      <c r="A18" s="306" t="s">
        <v>219</v>
      </c>
      <c r="B18" s="251" t="s">
        <v>187</v>
      </c>
      <c r="C18" s="252"/>
      <c r="D18" s="251">
        <v>15</v>
      </c>
      <c r="E18" s="476">
        <v>3</v>
      </c>
      <c r="F18" s="475">
        <f t="shared" si="0"/>
        <v>45</v>
      </c>
      <c r="G18" s="83"/>
      <c r="H18" s="266">
        <f>E20</f>
        <v>14</v>
      </c>
      <c r="I18" s="305" t="s">
        <v>200</v>
      </c>
      <c r="J18" s="395">
        <f>0.05*H18</f>
        <v>0.70000000000000007</v>
      </c>
      <c r="K18" s="263"/>
      <c r="L18" s="83"/>
      <c r="M18" s="433" t="s">
        <v>202</v>
      </c>
      <c r="N18" s="428">
        <f>+K20-J20</f>
        <v>66.63</v>
      </c>
      <c r="P18" s="83"/>
      <c r="Q18" s="83"/>
    </row>
    <row r="19" spans="1:20" s="81" customFormat="1" x14ac:dyDescent="0.25">
      <c r="A19" s="306" t="s">
        <v>219</v>
      </c>
      <c r="B19" s="257" t="s">
        <v>187</v>
      </c>
      <c r="C19" s="258"/>
      <c r="D19" s="257">
        <v>15</v>
      </c>
      <c r="E19" s="477">
        <v>4</v>
      </c>
      <c r="F19" s="478">
        <f t="shared" si="0"/>
        <v>60</v>
      </c>
      <c r="G19" s="83"/>
      <c r="H19" s="252">
        <v>0</v>
      </c>
      <c r="I19" s="304" t="s">
        <v>192</v>
      </c>
      <c r="J19" s="396">
        <f>H19*3.65</f>
        <v>0</v>
      </c>
      <c r="K19" s="267"/>
      <c r="L19" s="83"/>
      <c r="M19" s="83"/>
      <c r="N19" s="83"/>
      <c r="O19" s="83"/>
      <c r="P19" s="83"/>
      <c r="Q19" s="83"/>
    </row>
    <row r="20" spans="1:20" s="81" customFormat="1" x14ac:dyDescent="0.25">
      <c r="A20" s="88"/>
      <c r="B20" s="79"/>
      <c r="C20" s="80"/>
      <c r="D20" s="82"/>
      <c r="E20" s="408">
        <f>SUM(E16:E19)</f>
        <v>14</v>
      </c>
      <c r="F20" s="479">
        <f>SUM(F16:F19)</f>
        <v>210</v>
      </c>
      <c r="G20" s="83"/>
      <c r="H20" s="80"/>
      <c r="I20" s="414"/>
      <c r="J20" s="153">
        <f>SUM(J16:J19)</f>
        <v>104.37</v>
      </c>
      <c r="K20" s="269">
        <f>ROUNDUP(SUM(K16:K19),0)</f>
        <v>171</v>
      </c>
      <c r="L20" s="83"/>
      <c r="M20" s="83"/>
      <c r="N20" s="83"/>
      <c r="O20" s="83"/>
      <c r="P20" s="83"/>
      <c r="Q20" s="83"/>
    </row>
    <row r="21" spans="1:20" s="81" customFormat="1" x14ac:dyDescent="0.25">
      <c r="A21" s="88"/>
      <c r="B21" s="79"/>
      <c r="C21" s="80"/>
      <c r="D21" s="82"/>
      <c r="E21" s="89"/>
      <c r="F21" s="410">
        <f>+F20/300</f>
        <v>0.7</v>
      </c>
      <c r="G21" s="83"/>
      <c r="H21" s="80"/>
      <c r="I21" s="446" t="s">
        <v>189</v>
      </c>
      <c r="J21" s="112">
        <f>+J20/H16</f>
        <v>0.497</v>
      </c>
      <c r="K21" s="112">
        <f>+K20/H16</f>
        <v>0.81428571428571428</v>
      </c>
      <c r="L21" s="83"/>
      <c r="M21" s="83"/>
      <c r="N21" s="83"/>
      <c r="O21" s="83"/>
      <c r="P21" s="83"/>
      <c r="Q21" s="83"/>
    </row>
    <row r="22" spans="1:20" s="81" customFormat="1" x14ac:dyDescent="0.25">
      <c r="A22" s="88"/>
      <c r="B22" s="79"/>
      <c r="C22" s="80"/>
      <c r="D22" s="82"/>
      <c r="E22" s="89"/>
      <c r="F22" s="410"/>
      <c r="G22" s="83"/>
      <c r="H22" s="80"/>
      <c r="I22" s="446"/>
      <c r="J22" s="112"/>
      <c r="K22" s="112"/>
      <c r="L22" s="83"/>
      <c r="M22" s="83"/>
      <c r="N22" s="83"/>
      <c r="O22" s="83"/>
      <c r="P22" s="83"/>
      <c r="Q22" s="83"/>
    </row>
    <row r="23" spans="1:20" s="240" customFormat="1" x14ac:dyDescent="0.25">
      <c r="A23" s="329"/>
      <c r="D23" s="330"/>
      <c r="E23" s="403"/>
      <c r="F23" s="245"/>
      <c r="H23" s="332"/>
      <c r="I23" s="245"/>
      <c r="J23" s="444"/>
      <c r="K23" s="245"/>
    </row>
    <row r="24" spans="1:20" s="160" customFormat="1" x14ac:dyDescent="0.25">
      <c r="A24" s="324"/>
      <c r="D24" s="325"/>
      <c r="E24" s="402"/>
      <c r="F24" s="166"/>
      <c r="H24" s="327"/>
      <c r="I24" s="166"/>
      <c r="J24" s="443"/>
      <c r="K24" s="166"/>
    </row>
    <row r="25" spans="1:20" s="160" customFormat="1" x14ac:dyDescent="0.25">
      <c r="A25" s="324"/>
      <c r="D25" s="325"/>
      <c r="E25" s="402"/>
      <c r="F25" s="166"/>
      <c r="H25" s="327"/>
      <c r="I25" s="166"/>
      <c r="J25" s="443"/>
      <c r="K25" s="166"/>
    </row>
    <row r="26" spans="1:20" s="98" customFormat="1" x14ac:dyDescent="0.25">
      <c r="A26" s="15"/>
      <c r="B26" s="121"/>
      <c r="C26" s="80"/>
      <c r="D26" s="115"/>
      <c r="E26" s="404"/>
      <c r="F26" s="119"/>
      <c r="G26" s="117"/>
      <c r="I26" s="119"/>
      <c r="J26" s="119"/>
      <c r="L26" s="117"/>
      <c r="M26" s="117"/>
      <c r="N26" s="117"/>
      <c r="O26" s="117"/>
      <c r="P26" s="117"/>
      <c r="Q26" s="117"/>
    </row>
    <row r="27" spans="1:20" s="125" customFormat="1" ht="31.5" x14ac:dyDescent="0.25">
      <c r="A27" s="653" t="s">
        <v>266</v>
      </c>
      <c r="B27" s="148" t="s">
        <v>199</v>
      </c>
      <c r="C27" s="149" t="s">
        <v>196</v>
      </c>
      <c r="D27" s="148" t="s">
        <v>197</v>
      </c>
      <c r="E27" s="411" t="s">
        <v>198</v>
      </c>
      <c r="F27" s="412" t="s">
        <v>188</v>
      </c>
      <c r="G27" s="124"/>
      <c r="L27" s="83"/>
      <c r="M27" s="124"/>
      <c r="N27" s="124"/>
      <c r="O27" s="124"/>
      <c r="P27" s="124"/>
      <c r="Q27" s="124"/>
    </row>
    <row r="28" spans="1:20" s="81" customFormat="1" ht="18" x14ac:dyDescent="0.4">
      <c r="A28" s="193" t="s">
        <v>365</v>
      </c>
      <c r="B28" s="199" t="s">
        <v>235</v>
      </c>
      <c r="C28" s="303" t="s">
        <v>466</v>
      </c>
      <c r="D28" s="199">
        <v>5</v>
      </c>
      <c r="E28" s="413">
        <v>1</v>
      </c>
      <c r="F28" s="406">
        <f>+D28*E28</f>
        <v>5</v>
      </c>
      <c r="G28" s="83"/>
      <c r="H28" s="80"/>
      <c r="I28" s="119"/>
      <c r="J28" s="447" t="s">
        <v>112</v>
      </c>
      <c r="K28" s="114" t="s">
        <v>144</v>
      </c>
      <c r="L28" s="83"/>
      <c r="M28" s="83"/>
      <c r="N28" s="83"/>
      <c r="O28" s="83"/>
      <c r="P28" s="83"/>
      <c r="Q28" s="83" t="s">
        <v>424</v>
      </c>
      <c r="R28" s="81">
        <v>10</v>
      </c>
      <c r="T28" s="81" t="s">
        <v>464</v>
      </c>
    </row>
    <row r="29" spans="1:20" s="81" customFormat="1" x14ac:dyDescent="0.25">
      <c r="A29" s="81" t="s">
        <v>236</v>
      </c>
      <c r="B29" s="199" t="s">
        <v>235</v>
      </c>
      <c r="C29" s="303" t="s">
        <v>466</v>
      </c>
      <c r="D29" s="199">
        <v>5</v>
      </c>
      <c r="E29" s="414">
        <v>1</v>
      </c>
      <c r="F29" s="406">
        <f>+D29*E29</f>
        <v>5</v>
      </c>
      <c r="G29" s="83"/>
      <c r="H29" s="118">
        <f>ROUNDUP(F33,0)</f>
        <v>40</v>
      </c>
      <c r="I29" s="119" t="s">
        <v>201</v>
      </c>
      <c r="J29" s="395">
        <f>+B6*F33</f>
        <v>19.106666666666669</v>
      </c>
      <c r="K29" s="120">
        <f>F33*E7</f>
        <v>32.440000000000005</v>
      </c>
      <c r="L29" s="83"/>
      <c r="M29" s="83"/>
      <c r="N29" s="83"/>
      <c r="O29" s="83"/>
      <c r="P29" s="83"/>
      <c r="Q29" s="83" t="s">
        <v>425</v>
      </c>
      <c r="R29" s="81">
        <v>10</v>
      </c>
    </row>
    <row r="30" spans="1:20" s="81" customFormat="1" x14ac:dyDescent="0.25">
      <c r="A30" s="193" t="s">
        <v>109</v>
      </c>
      <c r="B30" s="199" t="s">
        <v>206</v>
      </c>
      <c r="C30" s="303" t="s">
        <v>465</v>
      </c>
      <c r="D30" s="199">
        <v>10</v>
      </c>
      <c r="E30" s="415">
        <f>IF(B30="Daily",7, IF(B30="Weekly",1, IF(B30="Every Other Day",4,"")))</f>
        <v>1</v>
      </c>
      <c r="F30" s="406">
        <f t="shared" ref="F30:F32" si="1">+D30*E30</f>
        <v>10</v>
      </c>
      <c r="G30" s="83"/>
      <c r="H30" s="80">
        <f>E33</f>
        <v>5</v>
      </c>
      <c r="I30" s="62" t="s">
        <v>221</v>
      </c>
      <c r="J30" s="395">
        <f>H30*0.24</f>
        <v>1.2</v>
      </c>
      <c r="K30" s="93"/>
      <c r="L30" s="83"/>
      <c r="M30" s="83"/>
      <c r="N30" s="83"/>
      <c r="O30" s="83"/>
      <c r="P30" s="83"/>
      <c r="Q30" s="83" t="s">
        <v>427</v>
      </c>
      <c r="R30" s="81">
        <v>20</v>
      </c>
    </row>
    <row r="31" spans="1:20" s="81" customFormat="1" x14ac:dyDescent="0.25">
      <c r="A31" s="193" t="s">
        <v>110</v>
      </c>
      <c r="B31" s="316" t="s">
        <v>206</v>
      </c>
      <c r="C31" s="303" t="s">
        <v>465</v>
      </c>
      <c r="D31" s="316">
        <v>10</v>
      </c>
      <c r="E31" s="415">
        <f>IF(B31="Daily",7, IF(B31="Weekly",1, IF(B31="Every Other Day",4,"")))</f>
        <v>1</v>
      </c>
      <c r="F31" s="416">
        <f t="shared" si="1"/>
        <v>10</v>
      </c>
      <c r="G31" s="83"/>
      <c r="H31" s="80">
        <f>H30</f>
        <v>5</v>
      </c>
      <c r="I31" s="62" t="s">
        <v>200</v>
      </c>
      <c r="J31" s="395">
        <f>+H31*0.05</f>
        <v>0.25</v>
      </c>
      <c r="K31" s="93"/>
      <c r="L31" s="83"/>
      <c r="M31" s="83"/>
      <c r="N31" s="83"/>
      <c r="O31" s="83"/>
      <c r="P31" s="83"/>
      <c r="Q31" s="83" t="s">
        <v>426</v>
      </c>
      <c r="R31" s="81">
        <v>20</v>
      </c>
    </row>
    <row r="32" spans="1:20" s="81" customFormat="1" x14ac:dyDescent="0.25">
      <c r="A32" s="195" t="s">
        <v>141</v>
      </c>
      <c r="B32" s="101" t="s">
        <v>206</v>
      </c>
      <c r="C32" s="425" t="s">
        <v>465</v>
      </c>
      <c r="D32" s="101">
        <v>10</v>
      </c>
      <c r="E32" s="417">
        <f>IF(B32="Daily",7, IF(B32="Weekly",1, IF(B32="Every Other Day",4,"")))</f>
        <v>1</v>
      </c>
      <c r="F32" s="407">
        <f t="shared" si="1"/>
        <v>10</v>
      </c>
      <c r="G32" s="83"/>
      <c r="H32" s="426">
        <v>1</v>
      </c>
      <c r="I32" s="71" t="s">
        <v>192</v>
      </c>
      <c r="J32" s="396">
        <f>H32*3.65</f>
        <v>3.65</v>
      </c>
      <c r="K32" s="97"/>
      <c r="L32" s="83"/>
      <c r="M32" s="433" t="s">
        <v>202</v>
      </c>
      <c r="N32" s="428">
        <f>+K33-J33</f>
        <v>325.79333333333335</v>
      </c>
      <c r="O32" s="83"/>
      <c r="P32" s="83"/>
      <c r="Q32" s="83"/>
    </row>
    <row r="33" spans="1:17" s="81" customFormat="1" x14ac:dyDescent="0.25">
      <c r="A33" s="88"/>
      <c r="B33" s="79"/>
      <c r="C33" s="80"/>
      <c r="D33" s="82"/>
      <c r="E33" s="418">
        <f>SUM(E28:E32)</f>
        <v>5</v>
      </c>
      <c r="F33" s="409">
        <f>SUM(F28:F32)</f>
        <v>40</v>
      </c>
      <c r="G33" s="83"/>
      <c r="H33" s="80"/>
      <c r="I33" s="414"/>
      <c r="J33" s="153">
        <f>SUM(J29:J32)</f>
        <v>24.206666666666667</v>
      </c>
      <c r="K33" s="369">
        <v>350</v>
      </c>
      <c r="L33" s="83"/>
      <c r="M33" s="83"/>
      <c r="N33" s="83"/>
      <c r="O33" s="83"/>
      <c r="P33" s="83"/>
      <c r="Q33" s="83"/>
    </row>
    <row r="34" spans="1:17" s="81" customFormat="1" x14ac:dyDescent="0.25">
      <c r="E34" s="440" t="s">
        <v>359</v>
      </c>
      <c r="F34" s="440">
        <f>+F33/300</f>
        <v>0.13333333333333333</v>
      </c>
      <c r="G34" s="83"/>
      <c r="H34" s="80"/>
      <c r="I34" s="446" t="s">
        <v>189</v>
      </c>
      <c r="J34" s="112">
        <f>+J33/H29</f>
        <v>0.60516666666666663</v>
      </c>
      <c r="K34" s="112">
        <f>+K33/H29</f>
        <v>8.75</v>
      </c>
      <c r="M34" s="83"/>
      <c r="N34" s="83"/>
      <c r="O34" s="83"/>
      <c r="P34" s="83"/>
      <c r="Q34" s="83"/>
    </row>
    <row r="35" spans="1:17" s="81" customFormat="1" x14ac:dyDescent="0.25">
      <c r="A35" s="88"/>
      <c r="B35" s="79"/>
      <c r="C35" s="80"/>
      <c r="D35" s="82"/>
      <c r="E35" s="419"/>
      <c r="F35" s="414"/>
      <c r="G35" s="83"/>
      <c r="I35" s="414"/>
      <c r="J35" s="414"/>
      <c r="M35" s="83"/>
      <c r="N35" s="83"/>
      <c r="O35" s="83"/>
      <c r="P35" s="83"/>
      <c r="Q35" s="83"/>
    </row>
    <row r="36" spans="1:17" s="107" customFormat="1" x14ac:dyDescent="0.25">
      <c r="A36" s="104"/>
      <c r="B36" s="105"/>
      <c r="C36" s="106"/>
      <c r="D36" s="108"/>
      <c r="E36" s="420"/>
      <c r="F36" s="421"/>
      <c r="H36" s="106"/>
      <c r="I36" s="421"/>
      <c r="J36" s="421"/>
    </row>
    <row r="37" spans="1:17" s="98" customFormat="1" x14ac:dyDescent="0.25">
      <c r="A37" s="15"/>
      <c r="B37" s="87"/>
      <c r="C37" s="80"/>
      <c r="D37" s="115"/>
      <c r="E37" s="404"/>
      <c r="F37" s="119"/>
      <c r="G37" s="117"/>
      <c r="H37" s="80"/>
      <c r="I37" s="119"/>
      <c r="J37" s="445"/>
      <c r="K37" s="153"/>
      <c r="L37" s="117"/>
      <c r="M37" s="117"/>
      <c r="N37" s="117"/>
      <c r="O37" s="117"/>
      <c r="P37" s="117"/>
      <c r="Q37" s="117"/>
    </row>
    <row r="38" spans="1:17" s="125" customFormat="1" ht="33.75" x14ac:dyDescent="0.4">
      <c r="A38" s="653" t="s">
        <v>268</v>
      </c>
      <c r="B38" s="148" t="s">
        <v>199</v>
      </c>
      <c r="C38" s="149" t="s">
        <v>196</v>
      </c>
      <c r="D38" s="148" t="s">
        <v>197</v>
      </c>
      <c r="E38" s="411" t="s">
        <v>198</v>
      </c>
      <c r="F38" s="412" t="s">
        <v>188</v>
      </c>
      <c r="G38" s="124"/>
      <c r="H38" s="80"/>
      <c r="I38" s="119"/>
      <c r="J38" s="447" t="s">
        <v>112</v>
      </c>
      <c r="K38" s="114" t="s">
        <v>144</v>
      </c>
      <c r="L38" s="124"/>
      <c r="M38" s="124"/>
      <c r="N38" s="124"/>
      <c r="O38" s="124"/>
      <c r="P38" s="124"/>
      <c r="Q38" s="124"/>
    </row>
    <row r="39" spans="1:17" s="81" customFormat="1" x14ac:dyDescent="0.25">
      <c r="A39" s="193" t="s">
        <v>207</v>
      </c>
      <c r="B39" s="199" t="s">
        <v>206</v>
      </c>
      <c r="C39" s="192">
        <v>1350</v>
      </c>
      <c r="D39" s="199">
        <v>20</v>
      </c>
      <c r="E39" s="413">
        <f>IF(B39="Daily",7, IF(B39="Weekly",1, IF(B39="Every Other Day",4,"")))</f>
        <v>1</v>
      </c>
      <c r="F39" s="406">
        <f>+D39*E39</f>
        <v>20</v>
      </c>
      <c r="G39" s="83"/>
      <c r="H39" s="118">
        <f>ROUNDUP(F43,0)</f>
        <v>80</v>
      </c>
      <c r="I39" s="119" t="s">
        <v>201</v>
      </c>
      <c r="J39" s="395">
        <f>+B6*F43</f>
        <v>38.213333333333338</v>
      </c>
      <c r="K39" s="120">
        <f>+F43*E7</f>
        <v>64.88000000000001</v>
      </c>
      <c r="L39" s="83"/>
      <c r="M39" s="83"/>
      <c r="N39" s="83"/>
      <c r="O39" s="83"/>
      <c r="P39" s="83"/>
      <c r="Q39" s="83"/>
    </row>
    <row r="40" spans="1:17" s="81" customFormat="1" x14ac:dyDescent="0.25">
      <c r="A40" s="193" t="s">
        <v>208</v>
      </c>
      <c r="B40" s="199" t="s">
        <v>206</v>
      </c>
      <c r="C40" s="192">
        <v>1350</v>
      </c>
      <c r="D40" s="199">
        <v>20</v>
      </c>
      <c r="E40" s="415">
        <f>IF(B40="Daily",7, IF(B40="Weekly",1, IF(B40="Every Other Day",4,"")))</f>
        <v>1</v>
      </c>
      <c r="F40" s="406">
        <f t="shared" ref="F40:F42" si="2">+D40*E40</f>
        <v>20</v>
      </c>
      <c r="G40" s="83"/>
      <c r="H40" s="80">
        <f>E43</f>
        <v>4</v>
      </c>
      <c r="I40" s="62" t="s">
        <v>221</v>
      </c>
      <c r="J40" s="395">
        <f>H40*0.24</f>
        <v>0.96</v>
      </c>
      <c r="K40" s="93"/>
      <c r="M40" s="83"/>
      <c r="N40" s="83"/>
      <c r="O40" s="83"/>
      <c r="P40" s="83"/>
      <c r="Q40" s="83"/>
    </row>
    <row r="41" spans="1:17" s="81" customFormat="1" x14ac:dyDescent="0.25">
      <c r="A41" s="193" t="s">
        <v>209</v>
      </c>
      <c r="B41" s="316" t="s">
        <v>206</v>
      </c>
      <c r="C41" s="315">
        <v>1350</v>
      </c>
      <c r="D41" s="316">
        <v>20</v>
      </c>
      <c r="E41" s="415">
        <f>IF(B41="Daily",7, IF(B41="Weekly",1, IF(B41="Every Other Day",4,"")))</f>
        <v>1</v>
      </c>
      <c r="F41" s="416">
        <f t="shared" si="2"/>
        <v>20</v>
      </c>
      <c r="G41" s="83"/>
      <c r="H41" s="80">
        <f>E43</f>
        <v>4</v>
      </c>
      <c r="I41" s="62" t="s">
        <v>200</v>
      </c>
      <c r="J41" s="395">
        <f>+H41*0.05</f>
        <v>0.2</v>
      </c>
      <c r="K41" s="93"/>
      <c r="L41" s="83"/>
      <c r="M41" s="83"/>
      <c r="N41" s="83"/>
      <c r="O41" s="83"/>
      <c r="P41" s="83"/>
      <c r="Q41" s="83"/>
    </row>
    <row r="42" spans="1:17" s="81" customFormat="1" x14ac:dyDescent="0.25">
      <c r="A42" s="195" t="s">
        <v>210</v>
      </c>
      <c r="B42" s="101" t="s">
        <v>206</v>
      </c>
      <c r="C42" s="102">
        <v>1350</v>
      </c>
      <c r="D42" s="101">
        <v>20</v>
      </c>
      <c r="E42" s="417">
        <f>IF(B42="Daily",7, IF(B42="Weekly",1, IF(B42="Every Other Day",4,"")))</f>
        <v>1</v>
      </c>
      <c r="F42" s="407">
        <f t="shared" si="2"/>
        <v>20</v>
      </c>
      <c r="G42" s="83"/>
      <c r="H42" s="425">
        <v>0</v>
      </c>
      <c r="I42" s="71" t="s">
        <v>192</v>
      </c>
      <c r="J42" s="396">
        <f>H42*3.65</f>
        <v>0</v>
      </c>
      <c r="K42" s="97"/>
      <c r="L42" s="83"/>
      <c r="M42" s="83"/>
      <c r="N42" s="83"/>
      <c r="O42" s="83"/>
      <c r="P42" s="83"/>
      <c r="Q42" s="83"/>
    </row>
    <row r="43" spans="1:17" s="81" customFormat="1" x14ac:dyDescent="0.25">
      <c r="A43" s="88"/>
      <c r="B43" s="79"/>
      <c r="C43" s="80"/>
      <c r="D43" s="82"/>
      <c r="E43" s="418">
        <f>SUM(E39:E42)</f>
        <v>4</v>
      </c>
      <c r="F43" s="409">
        <f>SUM(F39:F42)</f>
        <v>80</v>
      </c>
      <c r="G43" s="83"/>
      <c r="H43" s="80"/>
      <c r="I43" s="414"/>
      <c r="J43" s="153">
        <f>SUM(J39:J42)</f>
        <v>39.373333333333342</v>
      </c>
      <c r="K43" s="367">
        <f>K33</f>
        <v>350</v>
      </c>
      <c r="L43" s="83"/>
      <c r="M43" s="433" t="s">
        <v>202</v>
      </c>
      <c r="N43" s="428">
        <f>+K43-J43</f>
        <v>310.62666666666667</v>
      </c>
      <c r="O43" s="83"/>
      <c r="P43" s="83"/>
      <c r="Q43" s="83"/>
    </row>
    <row r="44" spans="1:17" s="81" customFormat="1" x14ac:dyDescent="0.25">
      <c r="A44" s="88"/>
      <c r="B44" s="79"/>
      <c r="C44" s="80"/>
      <c r="D44" s="82"/>
      <c r="E44" s="440" t="s">
        <v>359</v>
      </c>
      <c r="F44" s="440">
        <f>+F43/300</f>
        <v>0.26666666666666666</v>
      </c>
      <c r="G44" s="362"/>
      <c r="H44" s="80"/>
      <c r="I44" s="446" t="s">
        <v>189</v>
      </c>
      <c r="J44" s="112">
        <f>+J43/H39</f>
        <v>0.49216666666666675</v>
      </c>
      <c r="K44" s="112">
        <f>+K43/H39</f>
        <v>4.375</v>
      </c>
      <c r="L44" s="83"/>
      <c r="O44" s="83"/>
      <c r="P44" s="83"/>
      <c r="Q44" s="83"/>
    </row>
    <row r="45" spans="1:17" s="81" customFormat="1" x14ac:dyDescent="0.25">
      <c r="A45" s="88"/>
      <c r="B45" s="79"/>
      <c r="C45" s="80"/>
      <c r="D45" s="82"/>
      <c r="E45" s="419"/>
      <c r="F45" s="414"/>
      <c r="G45" s="83"/>
      <c r="H45" s="80"/>
      <c r="I45" s="414"/>
      <c r="J45" s="414"/>
      <c r="L45" s="83"/>
      <c r="M45" s="83"/>
      <c r="N45" s="83"/>
      <c r="O45" s="83"/>
      <c r="P45" s="83"/>
      <c r="Q45" s="83"/>
    </row>
    <row r="46" spans="1:17" s="107" customFormat="1" x14ac:dyDescent="0.25">
      <c r="A46" s="104"/>
      <c r="B46" s="105"/>
      <c r="C46" s="106"/>
      <c r="D46" s="108"/>
      <c r="E46" s="420"/>
      <c r="F46" s="421"/>
      <c r="H46" s="106"/>
      <c r="I46" s="421"/>
      <c r="J46" s="421"/>
    </row>
    <row r="47" spans="1:17" s="98" customFormat="1" x14ac:dyDescent="0.25">
      <c r="A47" s="15"/>
      <c r="B47" s="87"/>
      <c r="C47" s="80"/>
      <c r="D47" s="115"/>
      <c r="E47" s="404"/>
      <c r="F47" s="119"/>
      <c r="G47" s="117"/>
      <c r="H47" s="80"/>
      <c r="I47" s="119"/>
      <c r="J47" s="445"/>
      <c r="K47" s="153"/>
      <c r="L47" s="117"/>
      <c r="M47" s="117"/>
      <c r="N47" s="117"/>
      <c r="O47" s="117"/>
      <c r="P47" s="117"/>
      <c r="Q47" s="117"/>
    </row>
    <row r="48" spans="1:17" s="98" customFormat="1" x14ac:dyDescent="0.25">
      <c r="A48" s="15"/>
      <c r="B48" s="87"/>
      <c r="C48" s="80"/>
      <c r="D48" s="115"/>
      <c r="E48" s="404"/>
      <c r="F48" s="119"/>
      <c r="G48" s="117"/>
      <c r="I48" s="119"/>
      <c r="J48" s="119"/>
      <c r="L48" s="117"/>
      <c r="M48" s="117"/>
      <c r="N48" s="117"/>
      <c r="O48" s="117"/>
      <c r="P48" s="117"/>
      <c r="Q48" s="117"/>
    </row>
    <row r="49" spans="1:19" s="98" customFormat="1" x14ac:dyDescent="0.25">
      <c r="A49" s="15"/>
      <c r="B49" s="121"/>
      <c r="C49" s="80"/>
      <c r="D49" s="115"/>
      <c r="E49" s="404"/>
      <c r="F49" s="119"/>
      <c r="G49" s="117"/>
      <c r="I49" s="119"/>
      <c r="J49" s="119"/>
      <c r="L49" s="117"/>
      <c r="M49" s="117"/>
      <c r="N49" s="117"/>
      <c r="O49" s="117"/>
      <c r="P49" s="117"/>
      <c r="Q49" s="117"/>
    </row>
    <row r="50" spans="1:19" s="125" customFormat="1" ht="33.75" x14ac:dyDescent="0.4">
      <c r="A50" s="653" t="s">
        <v>269</v>
      </c>
      <c r="B50" s="148" t="s">
        <v>199</v>
      </c>
      <c r="C50" s="149" t="s">
        <v>196</v>
      </c>
      <c r="D50" s="148" t="s">
        <v>197</v>
      </c>
      <c r="E50" s="411" t="s">
        <v>198</v>
      </c>
      <c r="F50" s="412" t="s">
        <v>188</v>
      </c>
      <c r="G50" s="124"/>
      <c r="H50" s="434"/>
      <c r="I50" s="437"/>
      <c r="J50" s="447" t="s">
        <v>112</v>
      </c>
      <c r="K50" s="435" t="s">
        <v>144</v>
      </c>
      <c r="L50" s="124"/>
      <c r="M50" s="124"/>
      <c r="N50" s="124"/>
      <c r="O50" s="124"/>
      <c r="P50" s="124"/>
      <c r="Q50" s="124"/>
      <c r="S50" s="125">
        <f>30*0.85</f>
        <v>25.5</v>
      </c>
    </row>
    <row r="51" spans="1:19" s="81" customFormat="1" x14ac:dyDescent="0.25">
      <c r="A51" s="193" t="s">
        <v>211</v>
      </c>
      <c r="B51" s="199" t="s">
        <v>206</v>
      </c>
      <c r="C51" s="192">
        <v>2000</v>
      </c>
      <c r="D51" s="199">
        <v>30</v>
      </c>
      <c r="E51" s="413">
        <f>IF(B51="Daily",7, IF(B51="Weekly",1, IF(B51="Every Other Day",4,"")))</f>
        <v>1</v>
      </c>
      <c r="F51" s="406">
        <f>+D51*E51</f>
        <v>30</v>
      </c>
      <c r="G51" s="83"/>
      <c r="H51" s="436">
        <f>ROUNDUP(F55,0)</f>
        <v>120</v>
      </c>
      <c r="I51" s="437" t="s">
        <v>201</v>
      </c>
      <c r="J51" s="448">
        <f>+B6*F55</f>
        <v>57.32</v>
      </c>
      <c r="K51" s="438">
        <f>+F55*E7</f>
        <v>97.320000000000007</v>
      </c>
      <c r="L51" s="83"/>
      <c r="M51" s="83"/>
      <c r="N51" s="83"/>
      <c r="O51" s="83"/>
      <c r="P51" s="83"/>
      <c r="Q51" s="83"/>
    </row>
    <row r="52" spans="1:19" s="81" customFormat="1" x14ac:dyDescent="0.25">
      <c r="A52" s="193" t="s">
        <v>222</v>
      </c>
      <c r="B52" s="199" t="s">
        <v>206</v>
      </c>
      <c r="C52" s="192">
        <v>2000</v>
      </c>
      <c r="D52" s="199">
        <v>30</v>
      </c>
      <c r="E52" s="415">
        <f>IF(B52="Daily",7, IF(B52="Weekly",1, IF(B52="Every Other Day",4,"")))</f>
        <v>1</v>
      </c>
      <c r="F52" s="406">
        <f t="shared" ref="F52:F54" si="3">+D52*E52</f>
        <v>30</v>
      </c>
      <c r="G52" s="83"/>
      <c r="H52" s="434">
        <f>E55</f>
        <v>4</v>
      </c>
      <c r="I52" s="62" t="s">
        <v>221</v>
      </c>
      <c r="J52" s="448">
        <f>+H52*0.24</f>
        <v>0.96</v>
      </c>
      <c r="K52" s="439"/>
      <c r="L52" s="83"/>
      <c r="M52" s="83"/>
      <c r="N52" s="83"/>
      <c r="O52" s="83"/>
      <c r="P52" s="83"/>
      <c r="Q52" s="83"/>
    </row>
    <row r="53" spans="1:19" s="81" customFormat="1" x14ac:dyDescent="0.25">
      <c r="A53" s="193" t="s">
        <v>213</v>
      </c>
      <c r="B53" s="316" t="s">
        <v>206</v>
      </c>
      <c r="C53" s="315">
        <v>2000</v>
      </c>
      <c r="D53" s="316">
        <v>30</v>
      </c>
      <c r="E53" s="415">
        <f>IF(B53="Daily",7, IF(B53="Weekly",1, IF(B53="Every Other Day",4,"")))</f>
        <v>1</v>
      </c>
      <c r="F53" s="416">
        <f t="shared" si="3"/>
        <v>30</v>
      </c>
      <c r="G53" s="83"/>
      <c r="H53" s="434">
        <f>E55</f>
        <v>4</v>
      </c>
      <c r="I53" s="62" t="s">
        <v>200</v>
      </c>
      <c r="J53" s="448">
        <f>H53*0.05</f>
        <v>0.2</v>
      </c>
      <c r="K53" s="439"/>
      <c r="L53" s="83"/>
      <c r="M53" s="83"/>
      <c r="N53" s="83"/>
      <c r="O53" s="83"/>
      <c r="P53" s="83"/>
      <c r="Q53" s="83"/>
    </row>
    <row r="54" spans="1:19" s="81" customFormat="1" x14ac:dyDescent="0.25">
      <c r="A54" s="195" t="s">
        <v>214</v>
      </c>
      <c r="B54" s="101" t="s">
        <v>206</v>
      </c>
      <c r="C54" s="102">
        <v>2000</v>
      </c>
      <c r="D54" s="101">
        <v>30</v>
      </c>
      <c r="E54" s="417">
        <f>IF(B54="Daily",7, IF(B54="Weekly",1, IF(B54="Every Other Day",4,"")))</f>
        <v>1</v>
      </c>
      <c r="F54" s="407">
        <f t="shared" si="3"/>
        <v>30</v>
      </c>
      <c r="G54" s="83"/>
      <c r="H54" s="425">
        <v>0</v>
      </c>
      <c r="I54" s="71" t="s">
        <v>192</v>
      </c>
      <c r="J54" s="396">
        <f>H54*3.65</f>
        <v>0</v>
      </c>
      <c r="K54" s="97"/>
      <c r="L54" s="83"/>
      <c r="M54" s="83"/>
      <c r="N54" s="83"/>
      <c r="O54" s="83"/>
      <c r="P54" s="83"/>
      <c r="Q54" s="83"/>
    </row>
    <row r="55" spans="1:19" s="81" customFormat="1" x14ac:dyDescent="0.25">
      <c r="A55" s="88"/>
      <c r="B55" s="79"/>
      <c r="C55" s="80"/>
      <c r="D55" s="82"/>
      <c r="E55" s="418">
        <f>SUM(E51:E54)</f>
        <v>4</v>
      </c>
      <c r="F55" s="409">
        <f>SUM(F51:F54)</f>
        <v>120</v>
      </c>
      <c r="G55" s="83"/>
      <c r="H55" s="80"/>
      <c r="I55" s="414"/>
      <c r="J55" s="153">
        <f>SUM(J51:J54)</f>
        <v>58.480000000000004</v>
      </c>
      <c r="K55" s="367">
        <f>K33</f>
        <v>350</v>
      </c>
      <c r="L55" s="83"/>
      <c r="M55" s="433" t="s">
        <v>202</v>
      </c>
      <c r="N55" s="428">
        <f>+K55-J55</f>
        <v>291.52</v>
      </c>
      <c r="O55" s="83"/>
      <c r="P55" s="83"/>
      <c r="Q55" s="83"/>
    </row>
    <row r="56" spans="1:19" s="81" customFormat="1" x14ac:dyDescent="0.25">
      <c r="A56" s="88"/>
      <c r="B56" s="79"/>
      <c r="C56" s="80"/>
      <c r="D56" s="82"/>
      <c r="E56" s="440" t="s">
        <v>359</v>
      </c>
      <c r="F56" s="440">
        <f>+F55/300</f>
        <v>0.4</v>
      </c>
      <c r="G56" s="83"/>
      <c r="H56" s="80"/>
      <c r="I56" s="446" t="s">
        <v>189</v>
      </c>
      <c r="J56" s="112">
        <f>+J55/H51</f>
        <v>0.48733333333333334</v>
      </c>
      <c r="K56" s="112">
        <f>+K55/H51</f>
        <v>2.9166666666666665</v>
      </c>
      <c r="L56" s="83"/>
      <c r="M56" s="83"/>
      <c r="N56" s="83"/>
      <c r="O56" s="83"/>
      <c r="P56" s="83"/>
      <c r="Q56" s="83"/>
    </row>
    <row r="57" spans="1:19" s="81" customFormat="1" x14ac:dyDescent="0.25">
      <c r="B57" s="79"/>
      <c r="C57" s="80"/>
      <c r="D57" s="82"/>
      <c r="E57" s="419"/>
      <c r="F57" s="414"/>
      <c r="G57" s="83"/>
      <c r="I57" s="414"/>
      <c r="J57" s="414"/>
      <c r="L57" s="83"/>
      <c r="M57" s="83"/>
      <c r="N57" s="83"/>
      <c r="O57" s="83"/>
      <c r="P57" s="83"/>
      <c r="Q57" s="83"/>
    </row>
    <row r="58" spans="1:19" s="135" customFormat="1" x14ac:dyDescent="0.25">
      <c r="A58" s="132"/>
      <c r="B58" s="133"/>
      <c r="C58" s="134"/>
      <c r="D58" s="136"/>
      <c r="E58" s="422"/>
      <c r="F58" s="423"/>
      <c r="H58" s="134"/>
      <c r="I58" s="452"/>
      <c r="J58" s="449"/>
      <c r="K58" s="140"/>
    </row>
    <row r="59" spans="1:19" s="98" customFormat="1" x14ac:dyDescent="0.25">
      <c r="A59" s="15"/>
      <c r="B59" s="121"/>
      <c r="C59" s="80"/>
      <c r="D59" s="115"/>
      <c r="E59" s="404"/>
      <c r="F59" s="119"/>
      <c r="G59" s="117"/>
      <c r="I59" s="119"/>
      <c r="J59" s="119"/>
      <c r="L59" s="117"/>
      <c r="M59" s="117"/>
      <c r="N59" s="117"/>
      <c r="O59" s="117"/>
      <c r="P59" s="117"/>
      <c r="Q59" s="117"/>
    </row>
    <row r="60" spans="1:19" s="125" customFormat="1" ht="33.75" x14ac:dyDescent="0.4">
      <c r="A60" s="654" t="s">
        <v>215</v>
      </c>
      <c r="B60" s="148" t="s">
        <v>199</v>
      </c>
      <c r="C60" s="149" t="s">
        <v>196</v>
      </c>
      <c r="D60" s="148" t="s">
        <v>197</v>
      </c>
      <c r="E60" s="411" t="s">
        <v>198</v>
      </c>
      <c r="F60" s="412" t="s">
        <v>188</v>
      </c>
      <c r="G60" s="124"/>
      <c r="H60" s="434"/>
      <c r="I60" s="437"/>
      <c r="J60" s="447" t="s">
        <v>112</v>
      </c>
      <c r="K60" s="435" t="s">
        <v>144</v>
      </c>
      <c r="L60" s="124"/>
      <c r="M60" s="360"/>
      <c r="N60" s="124"/>
      <c r="O60" s="124"/>
      <c r="P60" s="124">
        <f>0.2+0.27+0.33+0.4</f>
        <v>1.2000000000000002</v>
      </c>
      <c r="Q60" s="124"/>
    </row>
    <row r="61" spans="1:19" s="81" customFormat="1" x14ac:dyDescent="0.25">
      <c r="A61" s="193" t="s">
        <v>223</v>
      </c>
      <c r="B61" s="199" t="s">
        <v>206</v>
      </c>
      <c r="C61" s="192">
        <v>2650</v>
      </c>
      <c r="D61" s="199">
        <v>40</v>
      </c>
      <c r="E61" s="413">
        <f>IF(B61="Daily",7, IF(B61="Weekly",1, IF(B61="Every Other Day",4,"")))</f>
        <v>1</v>
      </c>
      <c r="F61" s="406">
        <f>+D61*E61</f>
        <v>40</v>
      </c>
      <c r="G61" s="83"/>
      <c r="H61" s="436">
        <f>ROUNDUP(F65,0)</f>
        <v>160</v>
      </c>
      <c r="I61" s="437" t="s">
        <v>201</v>
      </c>
      <c r="J61" s="448">
        <f>F65*B6</f>
        <v>76.426666666666677</v>
      </c>
      <c r="K61" s="438">
        <f>+F65*E7</f>
        <v>129.76000000000002</v>
      </c>
      <c r="L61" s="83"/>
      <c r="M61" s="83"/>
      <c r="N61" s="83"/>
      <c r="O61" s="83"/>
      <c r="P61" s="83"/>
      <c r="Q61" s="83"/>
    </row>
    <row r="62" spans="1:19" s="81" customFormat="1" x14ac:dyDescent="0.25">
      <c r="A62" s="193" t="s">
        <v>224</v>
      </c>
      <c r="B62" s="199" t="s">
        <v>206</v>
      </c>
      <c r="C62" s="192">
        <v>2650</v>
      </c>
      <c r="D62" s="199">
        <v>40</v>
      </c>
      <c r="E62" s="415">
        <f>IF(B62="Daily",7, IF(B62="Weekly",1, IF(B62="Every Other Day",4,"")))</f>
        <v>1</v>
      </c>
      <c r="F62" s="406">
        <f t="shared" ref="F62:F64" si="4">+D62*E62</f>
        <v>40</v>
      </c>
      <c r="G62" s="83"/>
      <c r="H62" s="434">
        <f>E65</f>
        <v>4</v>
      </c>
      <c r="I62" s="62" t="s">
        <v>221</v>
      </c>
      <c r="J62" s="448">
        <f>+H62*0.24</f>
        <v>0.96</v>
      </c>
      <c r="K62" s="439"/>
      <c r="L62" s="83"/>
      <c r="M62" s="83"/>
      <c r="N62" s="83"/>
      <c r="O62" s="83"/>
      <c r="P62" s="83"/>
      <c r="Q62" s="83"/>
    </row>
    <row r="63" spans="1:19" s="81" customFormat="1" x14ac:dyDescent="0.25">
      <c r="A63" s="193" t="s">
        <v>225</v>
      </c>
      <c r="B63" s="316" t="s">
        <v>206</v>
      </c>
      <c r="C63" s="192">
        <v>2650</v>
      </c>
      <c r="D63" s="199">
        <v>40</v>
      </c>
      <c r="E63" s="415">
        <f>IF(B63="Daily",7, IF(B63="Weekly",1, IF(B63="Every Other Day",4,"")))</f>
        <v>1</v>
      </c>
      <c r="F63" s="416">
        <f t="shared" si="4"/>
        <v>40</v>
      </c>
      <c r="G63" s="83"/>
      <c r="H63" s="434">
        <f>E65</f>
        <v>4</v>
      </c>
      <c r="I63" s="62" t="s">
        <v>200</v>
      </c>
      <c r="J63" s="448">
        <f>H63*0.05</f>
        <v>0.2</v>
      </c>
      <c r="K63" s="439"/>
      <c r="L63" s="83"/>
      <c r="M63" s="83"/>
      <c r="N63" s="83"/>
      <c r="O63" s="83"/>
      <c r="P63" s="83"/>
      <c r="Q63" s="83"/>
    </row>
    <row r="64" spans="1:19" s="81" customFormat="1" x14ac:dyDescent="0.25">
      <c r="A64" s="195" t="s">
        <v>226</v>
      </c>
      <c r="B64" s="101" t="s">
        <v>206</v>
      </c>
      <c r="C64" s="102">
        <v>2650</v>
      </c>
      <c r="D64" s="101">
        <v>40</v>
      </c>
      <c r="E64" s="417">
        <f>IF(B64="Daily",7, IF(B64="Weekly",1, IF(B64="Every Other Day",4,"")))</f>
        <v>1</v>
      </c>
      <c r="F64" s="407">
        <f t="shared" si="4"/>
        <v>40</v>
      </c>
      <c r="G64" s="83"/>
      <c r="H64" s="425">
        <v>0</v>
      </c>
      <c r="I64" s="71" t="s">
        <v>192</v>
      </c>
      <c r="J64" s="396">
        <f>H64*3.65</f>
        <v>0</v>
      </c>
      <c r="K64" s="97"/>
      <c r="L64" s="83"/>
      <c r="M64" s="83"/>
      <c r="N64" s="83"/>
      <c r="O64" s="83"/>
      <c r="P64" s="83"/>
      <c r="Q64" s="83"/>
    </row>
    <row r="65" spans="1:17" s="81" customFormat="1" x14ac:dyDescent="0.25">
      <c r="A65" s="88"/>
      <c r="B65" s="79"/>
      <c r="C65" s="80"/>
      <c r="D65" s="82"/>
      <c r="E65" s="418">
        <f>SUM(E61:E64)</f>
        <v>4</v>
      </c>
      <c r="F65" s="409">
        <f>SUM(F61:F64)</f>
        <v>160</v>
      </c>
      <c r="G65" s="83"/>
      <c r="H65" s="80"/>
      <c r="I65" s="414"/>
      <c r="J65" s="153">
        <f>SUM(J61:J64)</f>
        <v>77.586666666666673</v>
      </c>
      <c r="K65" s="367">
        <f>K33</f>
        <v>350</v>
      </c>
      <c r="L65" s="83"/>
      <c r="M65" s="433" t="s">
        <v>202</v>
      </c>
      <c r="N65" s="428">
        <f>+K65-J65</f>
        <v>272.4133333333333</v>
      </c>
      <c r="O65" s="83"/>
      <c r="P65" s="83"/>
      <c r="Q65" s="83"/>
    </row>
    <row r="66" spans="1:17" s="81" customFormat="1" x14ac:dyDescent="0.25">
      <c r="A66" s="88"/>
      <c r="B66" s="79"/>
      <c r="C66" s="80"/>
      <c r="D66" s="82"/>
      <c r="E66" s="440" t="s">
        <v>359</v>
      </c>
      <c r="F66" s="440">
        <f>+F65/300</f>
        <v>0.53333333333333333</v>
      </c>
      <c r="G66" s="83"/>
      <c r="H66" s="80"/>
      <c r="I66" s="446" t="s">
        <v>189</v>
      </c>
      <c r="J66" s="112">
        <f>+J65/H61</f>
        <v>0.48491666666666672</v>
      </c>
      <c r="K66" s="112">
        <f>+K65/H61</f>
        <v>2.1875</v>
      </c>
      <c r="L66" s="83"/>
      <c r="M66" s="131"/>
      <c r="N66" s="131"/>
      <c r="O66" s="83"/>
      <c r="P66" s="83"/>
      <c r="Q66" s="83"/>
    </row>
    <row r="67" spans="1:17" s="81" customFormat="1" x14ac:dyDescent="0.25">
      <c r="A67" s="88"/>
      <c r="B67" s="79"/>
      <c r="C67" s="80"/>
      <c r="D67" s="82"/>
      <c r="E67" s="419"/>
      <c r="F67" s="414"/>
      <c r="G67" s="83"/>
      <c r="H67" s="80"/>
      <c r="I67" s="446"/>
      <c r="J67" s="446"/>
      <c r="K67" s="131"/>
      <c r="L67" s="83"/>
      <c r="M67" s="83"/>
      <c r="N67" s="131"/>
      <c r="O67" s="83"/>
      <c r="P67" s="83"/>
      <c r="Q67" s="83"/>
    </row>
    <row r="68" spans="1:17" s="135" customFormat="1" x14ac:dyDescent="0.25">
      <c r="A68" s="132"/>
      <c r="B68" s="133"/>
      <c r="C68" s="134"/>
      <c r="D68" s="136"/>
      <c r="E68" s="422"/>
      <c r="F68" s="423"/>
      <c r="H68" s="134"/>
      <c r="I68" s="452"/>
      <c r="J68" s="449"/>
      <c r="K68" s="140"/>
    </row>
    <row r="69" spans="1:17" s="98" customFormat="1" x14ac:dyDescent="0.25">
      <c r="B69" s="121"/>
      <c r="C69" s="80"/>
      <c r="D69" s="115"/>
      <c r="E69" s="404"/>
      <c r="F69" s="119"/>
      <c r="G69" s="117"/>
      <c r="I69" s="119"/>
      <c r="J69" s="119"/>
      <c r="L69" s="117"/>
      <c r="M69" s="117"/>
      <c r="N69" s="117"/>
      <c r="O69" s="117"/>
      <c r="P69" s="117"/>
      <c r="Q69" s="117"/>
    </row>
    <row r="70" spans="1:17" s="125" customFormat="1" ht="33.75" x14ac:dyDescent="0.4">
      <c r="A70" s="655" t="s">
        <v>455</v>
      </c>
      <c r="B70" s="148" t="s">
        <v>199</v>
      </c>
      <c r="C70" s="149" t="s">
        <v>196</v>
      </c>
      <c r="D70" s="148" t="s">
        <v>197</v>
      </c>
      <c r="E70" s="411" t="s">
        <v>198</v>
      </c>
      <c r="F70" s="412" t="s">
        <v>188</v>
      </c>
      <c r="G70" s="124"/>
      <c r="H70" s="434"/>
      <c r="I70" s="437"/>
      <c r="J70" s="447" t="s">
        <v>112</v>
      </c>
      <c r="K70" s="435" t="s">
        <v>144</v>
      </c>
      <c r="L70" s="124"/>
      <c r="M70" s="360"/>
      <c r="N70" s="124"/>
      <c r="O70" s="124"/>
      <c r="P70" s="124"/>
      <c r="Q70" s="124"/>
    </row>
    <row r="71" spans="1:17" s="81" customFormat="1" x14ac:dyDescent="0.25">
      <c r="A71" s="193" t="s">
        <v>376</v>
      </c>
      <c r="B71" s="199" t="s">
        <v>206</v>
      </c>
      <c r="C71" s="192">
        <v>3300</v>
      </c>
      <c r="D71" s="199">
        <v>50</v>
      </c>
      <c r="E71" s="413">
        <f>IF(B71="Daily",7, IF(B71="Weekly",1, IF(B71="Every Other Day",4,"")))</f>
        <v>1</v>
      </c>
      <c r="F71" s="406">
        <f>+D71*E71</f>
        <v>50</v>
      </c>
      <c r="G71" s="83"/>
      <c r="H71" s="436">
        <f>ROUNDUP(F75,0)</f>
        <v>200</v>
      </c>
      <c r="I71" s="437" t="s">
        <v>201</v>
      </c>
      <c r="J71" s="448">
        <f>F75*B6</f>
        <v>95.533333333333331</v>
      </c>
      <c r="K71" s="438">
        <f>+F75*E7</f>
        <v>162.20000000000002</v>
      </c>
      <c r="L71" s="83"/>
      <c r="M71" s="83"/>
      <c r="N71" s="83"/>
      <c r="O71" s="83"/>
      <c r="P71" s="83"/>
      <c r="Q71" s="83"/>
    </row>
    <row r="72" spans="1:17" s="81" customFormat="1" x14ac:dyDescent="0.25">
      <c r="A72" s="193" t="s">
        <v>377</v>
      </c>
      <c r="B72" s="199" t="s">
        <v>206</v>
      </c>
      <c r="C72" s="192">
        <v>3300</v>
      </c>
      <c r="D72" s="199">
        <v>50</v>
      </c>
      <c r="E72" s="415">
        <f>IF(B72="Daily",7, IF(B72="Weekly",1, IF(B72="Every Other Day",4,"")))</f>
        <v>1</v>
      </c>
      <c r="F72" s="406">
        <f t="shared" ref="F72:F74" si="5">+D72*E72</f>
        <v>50</v>
      </c>
      <c r="G72" s="83"/>
      <c r="H72" s="434">
        <f>E75</f>
        <v>4</v>
      </c>
      <c r="I72" s="62" t="s">
        <v>221</v>
      </c>
      <c r="J72" s="448">
        <f>+H72*0.24</f>
        <v>0.96</v>
      </c>
      <c r="K72" s="439"/>
      <c r="L72" s="83"/>
      <c r="M72" s="83"/>
      <c r="N72" s="83"/>
      <c r="O72" s="83"/>
      <c r="P72" s="83"/>
      <c r="Q72" s="83"/>
    </row>
    <row r="73" spans="1:17" s="81" customFormat="1" x14ac:dyDescent="0.25">
      <c r="A73" s="193" t="s">
        <v>378</v>
      </c>
      <c r="B73" s="316" t="s">
        <v>206</v>
      </c>
      <c r="C73" s="192">
        <v>3300</v>
      </c>
      <c r="D73" s="199">
        <v>50</v>
      </c>
      <c r="E73" s="415">
        <f>IF(B73="Daily",7, IF(B73="Weekly",1, IF(B73="Every Other Day",4,"")))</f>
        <v>1</v>
      </c>
      <c r="F73" s="416">
        <f t="shared" si="5"/>
        <v>50</v>
      </c>
      <c r="G73" s="83"/>
      <c r="H73" s="434">
        <f>E75</f>
        <v>4</v>
      </c>
      <c r="I73" s="62" t="s">
        <v>200</v>
      </c>
      <c r="J73" s="448">
        <f>H73*0.05</f>
        <v>0.2</v>
      </c>
      <c r="K73" s="439"/>
      <c r="L73" s="83"/>
      <c r="M73" s="83"/>
      <c r="N73" s="83"/>
      <c r="O73" s="83"/>
      <c r="P73" s="83"/>
      <c r="Q73" s="83"/>
    </row>
    <row r="74" spans="1:17" s="81" customFormat="1" x14ac:dyDescent="0.25">
      <c r="A74" s="195" t="s">
        <v>379</v>
      </c>
      <c r="B74" s="101" t="s">
        <v>206</v>
      </c>
      <c r="C74" s="102">
        <v>3300</v>
      </c>
      <c r="D74" s="101">
        <v>50</v>
      </c>
      <c r="E74" s="417">
        <f>IF(B74="Daily",7, IF(B74="Weekly",1, IF(B74="Every Other Day",4,"")))</f>
        <v>1</v>
      </c>
      <c r="F74" s="407">
        <f t="shared" si="5"/>
        <v>50</v>
      </c>
      <c r="G74" s="83"/>
      <c r="H74" s="425">
        <v>0</v>
      </c>
      <c r="I74" s="71" t="s">
        <v>192</v>
      </c>
      <c r="J74" s="396">
        <f>H74*3.65</f>
        <v>0</v>
      </c>
      <c r="K74" s="97"/>
      <c r="L74" s="83"/>
      <c r="M74" s="83"/>
      <c r="N74" s="83"/>
      <c r="O74" s="83"/>
      <c r="P74" s="83"/>
      <c r="Q74" s="83"/>
    </row>
    <row r="75" spans="1:17" s="81" customFormat="1" x14ac:dyDescent="0.25">
      <c r="A75" s="88"/>
      <c r="B75" s="79"/>
      <c r="C75" s="80"/>
      <c r="D75" s="82"/>
      <c r="E75" s="418">
        <f>SUM(E71:E74)</f>
        <v>4</v>
      </c>
      <c r="F75" s="409">
        <f>SUM(F71:F74)</f>
        <v>200</v>
      </c>
      <c r="G75" s="83"/>
      <c r="H75" s="80"/>
      <c r="I75" s="414"/>
      <c r="J75" s="153">
        <f>SUM(J71:J74)</f>
        <v>96.693333333333328</v>
      </c>
      <c r="K75" s="367">
        <v>350</v>
      </c>
      <c r="L75" s="83"/>
      <c r="M75" s="433" t="s">
        <v>202</v>
      </c>
      <c r="N75" s="428">
        <f>+K75-J75</f>
        <v>253.30666666666667</v>
      </c>
      <c r="O75" s="83"/>
      <c r="P75" s="83"/>
      <c r="Q75" s="83"/>
    </row>
    <row r="76" spans="1:17" s="81" customFormat="1" x14ac:dyDescent="0.25">
      <c r="A76" s="88"/>
      <c r="B76" s="79"/>
      <c r="C76" s="80"/>
      <c r="D76" s="82"/>
      <c r="E76" s="440" t="s">
        <v>359</v>
      </c>
      <c r="F76" s="440">
        <f>+F75/300</f>
        <v>0.66666666666666663</v>
      </c>
      <c r="G76" s="83"/>
      <c r="H76" s="80"/>
      <c r="I76" s="446" t="s">
        <v>189</v>
      </c>
      <c r="J76" s="112">
        <f>+J75/H71</f>
        <v>0.48346666666666666</v>
      </c>
      <c r="K76" s="112">
        <f>+K75/H71</f>
        <v>1.75</v>
      </c>
      <c r="L76" s="83"/>
      <c r="M76" s="131"/>
      <c r="N76" s="131"/>
      <c r="O76" s="83"/>
      <c r="P76" s="83"/>
      <c r="Q76" s="83"/>
    </row>
    <row r="77" spans="1:17" s="81" customFormat="1" x14ac:dyDescent="0.25">
      <c r="A77" s="88"/>
      <c r="B77" s="79"/>
      <c r="C77" s="80"/>
      <c r="D77" s="82"/>
      <c r="E77" s="419"/>
      <c r="F77" s="414"/>
      <c r="G77" s="83"/>
      <c r="H77" s="80"/>
      <c r="I77" s="446"/>
      <c r="J77" s="446"/>
      <c r="K77" s="131"/>
      <c r="L77" s="83"/>
      <c r="M77" s="83"/>
      <c r="N77" s="131"/>
      <c r="O77" s="83"/>
      <c r="P77" s="83"/>
      <c r="Q77" s="83"/>
    </row>
    <row r="78" spans="1:17" s="135" customFormat="1" x14ac:dyDescent="0.25">
      <c r="A78" s="132"/>
      <c r="B78" s="133"/>
      <c r="C78" s="134"/>
      <c r="D78" s="136"/>
      <c r="E78" s="422"/>
      <c r="F78" s="423"/>
      <c r="H78" s="134"/>
      <c r="I78" s="452"/>
      <c r="J78" s="449"/>
      <c r="K78" s="140"/>
    </row>
    <row r="79" spans="1:17" s="98" customFormat="1" x14ac:dyDescent="0.25">
      <c r="B79" s="121"/>
      <c r="C79" s="80"/>
      <c r="D79" s="115"/>
      <c r="E79" s="404"/>
      <c r="F79" s="119"/>
      <c r="G79" s="117"/>
      <c r="I79" s="119"/>
      <c r="J79" s="119"/>
      <c r="L79" s="117"/>
      <c r="M79" s="117"/>
      <c r="N79" s="117"/>
      <c r="O79" s="117"/>
      <c r="P79" s="117"/>
      <c r="Q79" s="117"/>
    </row>
    <row r="80" spans="1:17" s="125" customFormat="1" ht="33.75" x14ac:dyDescent="0.4">
      <c r="A80" s="655" t="s">
        <v>456</v>
      </c>
      <c r="B80" s="148" t="s">
        <v>199</v>
      </c>
      <c r="C80" s="149" t="s">
        <v>196</v>
      </c>
      <c r="D80" s="148" t="s">
        <v>197</v>
      </c>
      <c r="E80" s="411" t="s">
        <v>198</v>
      </c>
      <c r="F80" s="412" t="s">
        <v>188</v>
      </c>
      <c r="G80" s="124"/>
      <c r="H80" s="434"/>
      <c r="I80" s="437"/>
      <c r="J80" s="447" t="s">
        <v>112</v>
      </c>
      <c r="K80" s="435" t="s">
        <v>144</v>
      </c>
      <c r="L80" s="124"/>
      <c r="M80" s="360"/>
      <c r="N80" s="124"/>
      <c r="O80" s="124"/>
      <c r="P80" s="124"/>
      <c r="Q80" s="124"/>
    </row>
    <row r="81" spans="1:17" s="81" customFormat="1" x14ac:dyDescent="0.25">
      <c r="A81" s="193" t="s">
        <v>428</v>
      </c>
      <c r="B81" s="199" t="s">
        <v>206</v>
      </c>
      <c r="C81" s="192">
        <v>4000</v>
      </c>
      <c r="D81" s="199">
        <v>60</v>
      </c>
      <c r="E81" s="413">
        <f>IF(B81="Daily",7, IF(B81="Weekly",1, IF(B81="Every Other Day",4,"")))</f>
        <v>1</v>
      </c>
      <c r="F81" s="406">
        <f>+D81*E81</f>
        <v>60</v>
      </c>
      <c r="G81" s="83"/>
      <c r="H81" s="436">
        <f>ROUNDUP(F85,0)</f>
        <v>240</v>
      </c>
      <c r="I81" s="437" t="s">
        <v>201</v>
      </c>
      <c r="J81" s="448">
        <f>F85*B6</f>
        <v>114.64</v>
      </c>
      <c r="K81" s="438">
        <f>+F85*E7</f>
        <v>194.64000000000001</v>
      </c>
      <c r="L81" s="83"/>
      <c r="M81" s="83"/>
      <c r="N81" s="83"/>
      <c r="O81" s="83"/>
      <c r="P81" s="83"/>
      <c r="Q81" s="83"/>
    </row>
    <row r="82" spans="1:17" s="81" customFormat="1" x14ac:dyDescent="0.25">
      <c r="A82" s="193" t="s">
        <v>429</v>
      </c>
      <c r="B82" s="199" t="s">
        <v>206</v>
      </c>
      <c r="C82" s="192">
        <v>4000</v>
      </c>
      <c r="D82" s="199">
        <v>60</v>
      </c>
      <c r="E82" s="415">
        <f>IF(B82="Daily",7, IF(B82="Weekly",1, IF(B82="Every Other Day",4,"")))</f>
        <v>1</v>
      </c>
      <c r="F82" s="406">
        <f t="shared" ref="F82:F84" si="6">+D82*E82</f>
        <v>60</v>
      </c>
      <c r="G82" s="83"/>
      <c r="H82" s="434">
        <f>E85</f>
        <v>4</v>
      </c>
      <c r="I82" s="62" t="s">
        <v>221</v>
      </c>
      <c r="J82" s="448">
        <f>+H82*0.24</f>
        <v>0.96</v>
      </c>
      <c r="K82" s="439"/>
      <c r="L82" s="83"/>
      <c r="M82" s="83"/>
      <c r="N82" s="83"/>
      <c r="O82" s="83"/>
      <c r="P82" s="83"/>
      <c r="Q82" s="83"/>
    </row>
    <row r="83" spans="1:17" s="81" customFormat="1" x14ac:dyDescent="0.25">
      <c r="A83" s="193" t="s">
        <v>430</v>
      </c>
      <c r="B83" s="316" t="s">
        <v>206</v>
      </c>
      <c r="C83" s="192">
        <v>4000</v>
      </c>
      <c r="D83" s="199">
        <v>60</v>
      </c>
      <c r="E83" s="415">
        <f>IF(B83="Daily",7, IF(B83="Weekly",1, IF(B83="Every Other Day",4,"")))</f>
        <v>1</v>
      </c>
      <c r="F83" s="416">
        <f t="shared" si="6"/>
        <v>60</v>
      </c>
      <c r="G83" s="83"/>
      <c r="H83" s="434">
        <f>E85</f>
        <v>4</v>
      </c>
      <c r="I83" s="62" t="s">
        <v>200</v>
      </c>
      <c r="J83" s="448">
        <f>H83*0.05</f>
        <v>0.2</v>
      </c>
      <c r="K83" s="439"/>
      <c r="L83" s="83"/>
      <c r="M83" s="83"/>
      <c r="N83" s="83"/>
      <c r="O83" s="83"/>
      <c r="P83" s="83"/>
      <c r="Q83" s="83"/>
    </row>
    <row r="84" spans="1:17" s="81" customFormat="1" x14ac:dyDescent="0.25">
      <c r="A84" s="195" t="s">
        <v>432</v>
      </c>
      <c r="B84" s="101" t="s">
        <v>206</v>
      </c>
      <c r="C84" s="102">
        <v>4000</v>
      </c>
      <c r="D84" s="101">
        <v>60</v>
      </c>
      <c r="E84" s="417">
        <f>IF(B84="Daily",7, IF(B84="Weekly",1, IF(B84="Every Other Day",4,"")))</f>
        <v>1</v>
      </c>
      <c r="F84" s="407">
        <f t="shared" si="6"/>
        <v>60</v>
      </c>
      <c r="G84" s="83"/>
      <c r="H84" s="425">
        <v>0</v>
      </c>
      <c r="I84" s="71" t="s">
        <v>192</v>
      </c>
      <c r="J84" s="396">
        <f>H84*3.65</f>
        <v>0</v>
      </c>
      <c r="K84" s="97"/>
      <c r="L84" s="83"/>
      <c r="M84" s="83"/>
      <c r="N84" s="83"/>
      <c r="O84" s="83"/>
      <c r="P84" s="83"/>
      <c r="Q84" s="83"/>
    </row>
    <row r="85" spans="1:17" s="81" customFormat="1" x14ac:dyDescent="0.25">
      <c r="A85" s="88"/>
      <c r="B85" s="88"/>
      <c r="C85" s="80"/>
      <c r="D85" s="82"/>
      <c r="E85" s="418">
        <f>SUM(E81:E84)</f>
        <v>4</v>
      </c>
      <c r="F85" s="409">
        <f>SUM(F81:F84)</f>
        <v>240</v>
      </c>
      <c r="G85" s="83"/>
      <c r="H85" s="80"/>
      <c r="I85" s="414"/>
      <c r="J85" s="153">
        <f>SUM(J81:J84)</f>
        <v>115.8</v>
      </c>
      <c r="K85" s="367">
        <v>350</v>
      </c>
      <c r="L85" s="83"/>
      <c r="M85" s="433" t="s">
        <v>202</v>
      </c>
      <c r="N85" s="428">
        <f>+K85-J85</f>
        <v>234.2</v>
      </c>
      <c r="O85" s="83"/>
      <c r="P85" s="83"/>
      <c r="Q85" s="83"/>
    </row>
    <row r="86" spans="1:17" s="81" customFormat="1" x14ac:dyDescent="0.25">
      <c r="A86" s="88"/>
      <c r="B86" s="79"/>
      <c r="C86" s="80"/>
      <c r="D86" s="82"/>
      <c r="E86" s="440" t="s">
        <v>359</v>
      </c>
      <c r="F86" s="440">
        <f>+F85/300</f>
        <v>0.8</v>
      </c>
      <c r="G86" s="83"/>
      <c r="H86" s="80"/>
      <c r="I86" s="446" t="s">
        <v>189</v>
      </c>
      <c r="J86" s="112">
        <f>+J85/H81</f>
        <v>0.48249999999999998</v>
      </c>
      <c r="K86" s="112">
        <f>+K85/H81</f>
        <v>1.4583333333333333</v>
      </c>
      <c r="L86" s="83"/>
      <c r="M86" s="131"/>
      <c r="N86" s="131"/>
      <c r="O86" s="83"/>
      <c r="P86" s="83"/>
      <c r="Q86" s="83"/>
    </row>
    <row r="87" spans="1:17" s="81" customFormat="1" x14ac:dyDescent="0.25">
      <c r="A87" s="88"/>
      <c r="B87" s="79"/>
      <c r="C87" s="80"/>
      <c r="D87" s="82"/>
      <c r="E87" s="419"/>
      <c r="F87" s="414"/>
      <c r="G87" s="83"/>
      <c r="H87" s="80"/>
      <c r="I87" s="446"/>
      <c r="J87" s="446"/>
      <c r="K87" s="131"/>
      <c r="L87" s="83"/>
      <c r="M87" s="83"/>
      <c r="N87" s="131"/>
      <c r="O87" s="83"/>
      <c r="P87" s="83"/>
      <c r="Q87" s="83"/>
    </row>
    <row r="88" spans="1:17" s="135" customFormat="1" x14ac:dyDescent="0.25">
      <c r="A88" s="132"/>
      <c r="B88" s="133"/>
      <c r="C88" s="134"/>
      <c r="D88" s="136"/>
      <c r="E88" s="422"/>
      <c r="F88" s="423"/>
      <c r="H88" s="134"/>
      <c r="I88" s="452"/>
      <c r="J88" s="449"/>
      <c r="K88" s="140"/>
    </row>
    <row r="89" spans="1:17" s="98" customFormat="1" x14ac:dyDescent="0.25">
      <c r="B89" s="121"/>
      <c r="C89" s="80"/>
      <c r="D89" s="115"/>
      <c r="E89" s="404"/>
      <c r="F89" s="119"/>
      <c r="G89" s="117"/>
      <c r="I89" s="119"/>
      <c r="J89" s="119"/>
      <c r="L89" s="117"/>
      <c r="M89" s="117"/>
      <c r="N89" s="117"/>
      <c r="O89" s="117"/>
      <c r="P89" s="117"/>
      <c r="Q89" s="117"/>
    </row>
    <row r="90" spans="1:17" s="125" customFormat="1" ht="33.75" x14ac:dyDescent="0.4">
      <c r="A90" s="655" t="s">
        <v>457</v>
      </c>
      <c r="B90" s="148" t="s">
        <v>199</v>
      </c>
      <c r="C90" s="149" t="s">
        <v>196</v>
      </c>
      <c r="D90" s="148" t="s">
        <v>197</v>
      </c>
      <c r="E90" s="411" t="s">
        <v>198</v>
      </c>
      <c r="F90" s="412" t="s">
        <v>188</v>
      </c>
      <c r="G90" s="124"/>
      <c r="H90" s="434"/>
      <c r="I90" s="437"/>
      <c r="J90" s="447" t="s">
        <v>112</v>
      </c>
      <c r="K90" s="435" t="s">
        <v>144</v>
      </c>
      <c r="L90" s="124"/>
      <c r="M90" s="360"/>
      <c r="N90" s="124"/>
      <c r="O90" s="124"/>
      <c r="P90" s="124"/>
      <c r="Q90" s="124"/>
    </row>
    <row r="91" spans="1:17" s="81" customFormat="1" x14ac:dyDescent="0.25">
      <c r="A91" s="193" t="s">
        <v>433</v>
      </c>
      <c r="B91" s="199" t="s">
        <v>206</v>
      </c>
      <c r="C91" s="192">
        <v>4600</v>
      </c>
      <c r="D91" s="199">
        <v>70</v>
      </c>
      <c r="E91" s="413">
        <f>IF(B91="Daily",7, IF(B91="Weekly",1, IF(B91="Every Other Day",4,"")))</f>
        <v>1</v>
      </c>
      <c r="F91" s="406">
        <f>+D91*E91</f>
        <v>70</v>
      </c>
      <c r="G91" s="83"/>
      <c r="H91" s="436">
        <f>ROUNDUP(F95,0)</f>
        <v>280</v>
      </c>
      <c r="I91" s="437" t="s">
        <v>201</v>
      </c>
      <c r="J91" s="448">
        <f>F95*B6</f>
        <v>133.74666666666667</v>
      </c>
      <c r="K91" s="438">
        <f>+F95*E7</f>
        <v>227.08</v>
      </c>
      <c r="L91" s="83"/>
      <c r="M91" s="83"/>
      <c r="N91" s="83"/>
      <c r="O91" s="83"/>
      <c r="P91" s="83"/>
      <c r="Q91" s="83"/>
    </row>
    <row r="92" spans="1:17" s="81" customFormat="1" x14ac:dyDescent="0.25">
      <c r="A92" s="193" t="s">
        <v>434</v>
      </c>
      <c r="B92" s="199" t="s">
        <v>206</v>
      </c>
      <c r="C92" s="192">
        <v>4600</v>
      </c>
      <c r="D92" s="199">
        <v>70</v>
      </c>
      <c r="E92" s="415">
        <f>IF(B92="Daily",7, IF(B92="Weekly",1, IF(B92="Every Other Day",4,"")))</f>
        <v>1</v>
      </c>
      <c r="F92" s="406">
        <f t="shared" ref="F92:F94" si="7">+D92*E92</f>
        <v>70</v>
      </c>
      <c r="G92" s="83"/>
      <c r="H92" s="434">
        <f>E95</f>
        <v>4</v>
      </c>
      <c r="I92" s="62" t="s">
        <v>221</v>
      </c>
      <c r="J92" s="448">
        <f>+H92*0.24</f>
        <v>0.96</v>
      </c>
      <c r="K92" s="439"/>
      <c r="L92" s="83"/>
      <c r="M92" s="83"/>
      <c r="N92" s="83"/>
      <c r="O92" s="83"/>
      <c r="P92" s="83"/>
      <c r="Q92" s="83"/>
    </row>
    <row r="93" spans="1:17" s="81" customFormat="1" x14ac:dyDescent="0.25">
      <c r="A93" s="193" t="s">
        <v>435</v>
      </c>
      <c r="B93" s="316" t="s">
        <v>206</v>
      </c>
      <c r="C93" s="192">
        <v>4600</v>
      </c>
      <c r="D93" s="199">
        <v>70</v>
      </c>
      <c r="E93" s="415">
        <f>IF(B93="Daily",7, IF(B93="Weekly",1, IF(B93="Every Other Day",4,"")))</f>
        <v>1</v>
      </c>
      <c r="F93" s="416">
        <f t="shared" si="7"/>
        <v>70</v>
      </c>
      <c r="G93" s="83"/>
      <c r="H93" s="434">
        <f>E95</f>
        <v>4</v>
      </c>
      <c r="I93" s="62" t="s">
        <v>200</v>
      </c>
      <c r="J93" s="448">
        <f>H93*0.05</f>
        <v>0.2</v>
      </c>
      <c r="K93" s="439"/>
      <c r="L93" s="83"/>
      <c r="M93" s="83"/>
      <c r="N93" s="83"/>
      <c r="O93" s="83"/>
      <c r="P93" s="83"/>
      <c r="Q93" s="83"/>
    </row>
    <row r="94" spans="1:17" s="81" customFormat="1" x14ac:dyDescent="0.25">
      <c r="A94" s="195" t="s">
        <v>436</v>
      </c>
      <c r="B94" s="101" t="s">
        <v>206</v>
      </c>
      <c r="C94" s="102">
        <v>4600</v>
      </c>
      <c r="D94" s="101">
        <v>70</v>
      </c>
      <c r="E94" s="417">
        <f>IF(B94="Daily",7, IF(B94="Weekly",1, IF(B94="Every Other Day",4,"")))</f>
        <v>1</v>
      </c>
      <c r="F94" s="407">
        <f t="shared" si="7"/>
        <v>70</v>
      </c>
      <c r="G94" s="83"/>
      <c r="H94" s="425">
        <v>0</v>
      </c>
      <c r="I94" s="71" t="s">
        <v>192</v>
      </c>
      <c r="J94" s="396">
        <f>H94*3.65</f>
        <v>0</v>
      </c>
      <c r="K94" s="97"/>
      <c r="L94" s="83"/>
      <c r="M94" s="83"/>
      <c r="N94" s="83"/>
      <c r="O94" s="83"/>
      <c r="P94" s="83"/>
      <c r="Q94" s="83"/>
    </row>
    <row r="95" spans="1:17" s="81" customFormat="1" x14ac:dyDescent="0.25">
      <c r="A95" s="88"/>
      <c r="B95" s="79"/>
      <c r="C95" s="80"/>
      <c r="D95" s="82"/>
      <c r="E95" s="418">
        <f>SUM(E91:E94)</f>
        <v>4</v>
      </c>
      <c r="F95" s="409">
        <f>SUM(F91:F94)</f>
        <v>280</v>
      </c>
      <c r="G95" s="83"/>
      <c r="H95" s="80"/>
      <c r="I95" s="414"/>
      <c r="J95" s="153">
        <f>SUM(J91:J94)</f>
        <v>134.90666666666667</v>
      </c>
      <c r="K95" s="367">
        <v>350</v>
      </c>
      <c r="L95" s="83"/>
      <c r="M95" s="433" t="s">
        <v>202</v>
      </c>
      <c r="N95" s="428">
        <f>+K95-J95</f>
        <v>215.09333333333333</v>
      </c>
      <c r="O95" s="83"/>
      <c r="P95" s="83"/>
      <c r="Q95" s="83"/>
    </row>
    <row r="96" spans="1:17" s="81" customFormat="1" x14ac:dyDescent="0.25">
      <c r="A96" s="88"/>
      <c r="B96" s="79"/>
      <c r="C96" s="80"/>
      <c r="D96" s="82"/>
      <c r="E96" s="440" t="s">
        <v>359</v>
      </c>
      <c r="F96" s="440">
        <f>+F95/300</f>
        <v>0.93333333333333335</v>
      </c>
      <c r="G96" s="83"/>
      <c r="H96" s="80"/>
      <c r="I96" s="446" t="s">
        <v>189</v>
      </c>
      <c r="J96" s="112">
        <f>+J95/H91</f>
        <v>0.4818095238095238</v>
      </c>
      <c r="K96" s="112">
        <f>+K95/H91</f>
        <v>1.25</v>
      </c>
      <c r="L96" s="83"/>
      <c r="M96" s="131"/>
      <c r="N96" s="131"/>
      <c r="O96" s="83"/>
      <c r="P96" s="83"/>
      <c r="Q96" s="83"/>
    </row>
    <row r="97" spans="1:17" s="81" customFormat="1" x14ac:dyDescent="0.25">
      <c r="A97" s="88"/>
      <c r="B97" s="79"/>
      <c r="C97" s="80"/>
      <c r="D97" s="82"/>
      <c r="E97" s="419"/>
      <c r="F97" s="414"/>
      <c r="G97" s="83"/>
      <c r="H97" s="80"/>
      <c r="I97" s="446"/>
      <c r="J97" s="446"/>
      <c r="K97" s="131"/>
      <c r="L97" s="83"/>
      <c r="M97" s="83"/>
      <c r="N97" s="131"/>
      <c r="O97" s="83"/>
      <c r="P97" s="83"/>
      <c r="Q97" s="83"/>
    </row>
    <row r="98" spans="1:17" s="135" customFormat="1" x14ac:dyDescent="0.25">
      <c r="A98" s="132"/>
      <c r="B98" s="133"/>
      <c r="C98" s="134"/>
      <c r="D98" s="136"/>
      <c r="E98" s="422"/>
      <c r="F98" s="423"/>
      <c r="H98" s="134"/>
      <c r="I98" s="452"/>
      <c r="J98" s="449"/>
      <c r="K98" s="140"/>
    </row>
    <row r="99" spans="1:17" s="98" customFormat="1" x14ac:dyDescent="0.25">
      <c r="B99" s="121"/>
      <c r="C99" s="80"/>
      <c r="D99" s="115"/>
      <c r="E99" s="404"/>
      <c r="F99" s="119"/>
      <c r="G99" s="117"/>
      <c r="I99" s="119"/>
      <c r="J99" s="119"/>
      <c r="L99" s="117"/>
      <c r="M99" s="117"/>
      <c r="N99" s="117"/>
      <c r="O99" s="117"/>
      <c r="P99" s="117"/>
      <c r="Q99" s="117"/>
    </row>
    <row r="100" spans="1:17" s="125" customFormat="1" ht="33.75" x14ac:dyDescent="0.4">
      <c r="A100" s="655" t="s">
        <v>458</v>
      </c>
      <c r="B100" s="148" t="s">
        <v>199</v>
      </c>
      <c r="C100" s="149" t="s">
        <v>196</v>
      </c>
      <c r="D100" s="148" t="s">
        <v>197</v>
      </c>
      <c r="E100" s="411" t="s">
        <v>198</v>
      </c>
      <c r="F100" s="412" t="s">
        <v>188</v>
      </c>
      <c r="G100" s="124"/>
      <c r="H100" s="434"/>
      <c r="I100" s="437"/>
      <c r="J100" s="447" t="s">
        <v>112</v>
      </c>
      <c r="K100" s="435" t="s">
        <v>144</v>
      </c>
      <c r="L100" s="124"/>
      <c r="M100" s="360"/>
      <c r="N100" s="124"/>
      <c r="O100" s="124"/>
      <c r="P100" s="124"/>
      <c r="Q100" s="124"/>
    </row>
    <row r="101" spans="1:17" s="81" customFormat="1" x14ac:dyDescent="0.25">
      <c r="A101" s="193" t="s">
        <v>437</v>
      </c>
      <c r="B101" s="199" t="s">
        <v>206</v>
      </c>
      <c r="C101" s="192">
        <v>5250</v>
      </c>
      <c r="D101" s="199">
        <v>80</v>
      </c>
      <c r="E101" s="413">
        <f>IF(B101="Daily",7, IF(B101="Weekly",1, IF(B101="Every Other Day",4,"")))</f>
        <v>1</v>
      </c>
      <c r="F101" s="406">
        <f>+D101*E101</f>
        <v>80</v>
      </c>
      <c r="G101" s="83"/>
      <c r="H101" s="436">
        <f>ROUNDUP(F105,0)</f>
        <v>320</v>
      </c>
      <c r="I101" s="437" t="s">
        <v>201</v>
      </c>
      <c r="J101" s="448">
        <f>F105*B6</f>
        <v>152.85333333333335</v>
      </c>
      <c r="K101" s="438">
        <f>+F105*E7</f>
        <v>259.52000000000004</v>
      </c>
      <c r="L101" s="83"/>
      <c r="M101" s="83"/>
      <c r="N101" s="83"/>
      <c r="O101" s="83"/>
      <c r="P101" s="83"/>
      <c r="Q101" s="83"/>
    </row>
    <row r="102" spans="1:17" s="81" customFormat="1" x14ac:dyDescent="0.25">
      <c r="A102" s="193" t="s">
        <v>438</v>
      </c>
      <c r="B102" s="199" t="s">
        <v>206</v>
      </c>
      <c r="C102" s="192">
        <v>5250</v>
      </c>
      <c r="D102" s="199">
        <v>80</v>
      </c>
      <c r="E102" s="415">
        <f>IF(B102="Daily",7, IF(B102="Weekly",1, IF(B102="Every Other Day",4,"")))</f>
        <v>1</v>
      </c>
      <c r="F102" s="406">
        <f t="shared" ref="F102:F104" si="8">+D102*E102</f>
        <v>80</v>
      </c>
      <c r="G102" s="83"/>
      <c r="H102" s="434">
        <f>E105</f>
        <v>4</v>
      </c>
      <c r="I102" s="62" t="s">
        <v>221</v>
      </c>
      <c r="J102" s="448">
        <f>+H102*0.24</f>
        <v>0.96</v>
      </c>
      <c r="K102" s="439"/>
      <c r="L102" s="83"/>
      <c r="M102" s="83"/>
      <c r="N102" s="83"/>
      <c r="O102" s="83"/>
      <c r="P102" s="83"/>
      <c r="Q102" s="83"/>
    </row>
    <row r="103" spans="1:17" s="81" customFormat="1" x14ac:dyDescent="0.25">
      <c r="A103" s="193" t="s">
        <v>439</v>
      </c>
      <c r="B103" s="316" t="s">
        <v>206</v>
      </c>
      <c r="C103" s="192">
        <v>5250</v>
      </c>
      <c r="D103" s="199">
        <v>80</v>
      </c>
      <c r="E103" s="415">
        <f>IF(B103="Daily",7, IF(B103="Weekly",1, IF(B103="Every Other Day",4,"")))</f>
        <v>1</v>
      </c>
      <c r="F103" s="416">
        <f t="shared" si="8"/>
        <v>80</v>
      </c>
      <c r="G103" s="83"/>
      <c r="H103" s="434">
        <f>E105</f>
        <v>4</v>
      </c>
      <c r="I103" s="62" t="s">
        <v>200</v>
      </c>
      <c r="J103" s="448">
        <f>H103*0.05</f>
        <v>0.2</v>
      </c>
      <c r="K103" s="439"/>
      <c r="L103" s="83"/>
      <c r="M103" s="83"/>
      <c r="N103" s="83"/>
      <c r="O103" s="83"/>
      <c r="P103" s="83"/>
      <c r="Q103" s="83"/>
    </row>
    <row r="104" spans="1:17" s="81" customFormat="1" x14ac:dyDescent="0.25">
      <c r="A104" s="195" t="s">
        <v>440</v>
      </c>
      <c r="B104" s="101" t="s">
        <v>206</v>
      </c>
      <c r="C104" s="102">
        <v>5250</v>
      </c>
      <c r="D104" s="101">
        <v>80</v>
      </c>
      <c r="E104" s="417">
        <f>IF(B104="Daily",7, IF(B104="Weekly",1, IF(B104="Every Other Day",4,"")))</f>
        <v>1</v>
      </c>
      <c r="F104" s="407">
        <f t="shared" si="8"/>
        <v>80</v>
      </c>
      <c r="G104" s="83"/>
      <c r="H104" s="425">
        <v>0</v>
      </c>
      <c r="I104" s="71" t="s">
        <v>192</v>
      </c>
      <c r="J104" s="396">
        <f>H104*3.65</f>
        <v>0</v>
      </c>
      <c r="K104" s="97"/>
      <c r="L104" s="83"/>
      <c r="M104" s="83"/>
      <c r="N104" s="83"/>
      <c r="O104" s="83"/>
      <c r="P104" s="83"/>
      <c r="Q104" s="83"/>
    </row>
    <row r="105" spans="1:17" s="81" customFormat="1" x14ac:dyDescent="0.25">
      <c r="A105" s="88"/>
      <c r="B105" s="79"/>
      <c r="C105" s="80"/>
      <c r="D105" s="82"/>
      <c r="E105" s="418">
        <f>SUM(E101:E104)</f>
        <v>4</v>
      </c>
      <c r="F105" s="409">
        <f>SUM(F101:F104)</f>
        <v>320</v>
      </c>
      <c r="G105" s="83"/>
      <c r="H105" s="80"/>
      <c r="I105" s="414"/>
      <c r="J105" s="153">
        <f>SUM(J101:J104)</f>
        <v>154.01333333333335</v>
      </c>
      <c r="K105" s="367">
        <v>350</v>
      </c>
      <c r="L105" s="83"/>
      <c r="M105" s="433" t="s">
        <v>202</v>
      </c>
      <c r="N105" s="428">
        <f>+K105-J105</f>
        <v>195.98666666666665</v>
      </c>
      <c r="O105" s="83"/>
      <c r="P105" s="83"/>
      <c r="Q105" s="83"/>
    </row>
    <row r="106" spans="1:17" s="81" customFormat="1" x14ac:dyDescent="0.25">
      <c r="A106" s="88"/>
      <c r="B106" s="79"/>
      <c r="C106" s="80"/>
      <c r="D106" s="82"/>
      <c r="E106" s="440" t="s">
        <v>359</v>
      </c>
      <c r="F106" s="440">
        <f>+F105/300</f>
        <v>1.0666666666666667</v>
      </c>
      <c r="G106" s="83"/>
      <c r="H106" s="80"/>
      <c r="I106" s="446" t="s">
        <v>189</v>
      </c>
      <c r="J106" s="112">
        <f>+J105/H101</f>
        <v>0.48129166666666673</v>
      </c>
      <c r="K106" s="112">
        <f>+K105/H101</f>
        <v>1.09375</v>
      </c>
      <c r="L106" s="83"/>
      <c r="M106" s="131"/>
      <c r="N106" s="131"/>
      <c r="O106" s="83"/>
      <c r="P106" s="83"/>
      <c r="Q106" s="83"/>
    </row>
    <row r="107" spans="1:17" s="81" customFormat="1" x14ac:dyDescent="0.25">
      <c r="A107" s="88"/>
      <c r="B107" s="79"/>
      <c r="C107" s="80"/>
      <c r="D107" s="82"/>
      <c r="E107" s="440"/>
      <c r="F107" s="440"/>
      <c r="G107" s="83"/>
      <c r="H107" s="80"/>
      <c r="I107" s="446"/>
      <c r="J107" s="112"/>
      <c r="K107" s="112"/>
      <c r="L107" s="83"/>
      <c r="M107" s="131"/>
      <c r="N107" s="131"/>
      <c r="O107" s="83"/>
      <c r="P107" s="83"/>
      <c r="Q107" s="83"/>
    </row>
    <row r="108" spans="1:17" s="135" customFormat="1" x14ac:dyDescent="0.25">
      <c r="A108" s="132"/>
      <c r="B108" s="133"/>
      <c r="C108" s="134"/>
      <c r="D108" s="136"/>
      <c r="E108" s="422"/>
      <c r="F108" s="423"/>
      <c r="H108" s="134"/>
      <c r="I108" s="452"/>
      <c r="J108" s="449"/>
      <c r="K108" s="140"/>
    </row>
    <row r="109" spans="1:17" s="98" customFormat="1" x14ac:dyDescent="0.25">
      <c r="B109" s="121"/>
      <c r="C109" s="80"/>
      <c r="D109" s="115"/>
      <c r="E109" s="404"/>
      <c r="F109" s="119"/>
      <c r="G109" s="117"/>
      <c r="I109" s="119"/>
      <c r="J109" s="119"/>
      <c r="L109" s="117"/>
      <c r="M109" s="117"/>
      <c r="N109" s="117"/>
      <c r="O109" s="117"/>
      <c r="P109" s="117"/>
      <c r="Q109" s="117"/>
    </row>
    <row r="110" spans="1:17" s="125" customFormat="1" ht="33.75" x14ac:dyDescent="0.4">
      <c r="A110" s="655" t="s">
        <v>459</v>
      </c>
      <c r="B110" s="148" t="s">
        <v>199</v>
      </c>
      <c r="C110" s="149" t="s">
        <v>196</v>
      </c>
      <c r="D110" s="148" t="s">
        <v>197</v>
      </c>
      <c r="E110" s="411" t="s">
        <v>198</v>
      </c>
      <c r="F110" s="412" t="s">
        <v>188</v>
      </c>
      <c r="G110" s="124"/>
      <c r="H110" s="434"/>
      <c r="I110" s="437"/>
      <c r="J110" s="447" t="s">
        <v>112</v>
      </c>
      <c r="K110" s="435" t="s">
        <v>144</v>
      </c>
      <c r="L110" s="124"/>
      <c r="M110" s="360"/>
      <c r="N110" s="124"/>
      <c r="O110" s="124"/>
      <c r="P110" s="124"/>
      <c r="Q110" s="124"/>
    </row>
    <row r="111" spans="1:17" s="81" customFormat="1" x14ac:dyDescent="0.25">
      <c r="A111" s="193" t="s">
        <v>440</v>
      </c>
      <c r="B111" s="199" t="s">
        <v>206</v>
      </c>
      <c r="C111" s="192">
        <v>5900</v>
      </c>
      <c r="D111" s="199">
        <v>90</v>
      </c>
      <c r="E111" s="413">
        <f>IF(B111="Daily",7, IF(B111="Weekly",1, IF(B111="Every Other Day",4,"")))</f>
        <v>1</v>
      </c>
      <c r="F111" s="406">
        <f>+D111*E111</f>
        <v>90</v>
      </c>
      <c r="G111" s="83"/>
      <c r="H111" s="436">
        <f>ROUNDUP(F115,0)</f>
        <v>360</v>
      </c>
      <c r="I111" s="437" t="s">
        <v>201</v>
      </c>
      <c r="J111" s="448">
        <f>F115*B6</f>
        <v>171.96</v>
      </c>
      <c r="K111" s="438">
        <f>+F115*E7</f>
        <v>291.96000000000004</v>
      </c>
      <c r="L111" s="83"/>
      <c r="M111" s="83"/>
      <c r="N111" s="83"/>
      <c r="O111" s="83"/>
      <c r="P111" s="83"/>
      <c r="Q111" s="83"/>
    </row>
    <row r="112" spans="1:17" s="81" customFormat="1" x14ac:dyDescent="0.25">
      <c r="A112" s="193" t="s">
        <v>441</v>
      </c>
      <c r="B112" s="199" t="s">
        <v>206</v>
      </c>
      <c r="C112" s="192">
        <v>5900</v>
      </c>
      <c r="D112" s="199">
        <v>90</v>
      </c>
      <c r="E112" s="415">
        <f>IF(B112="Daily",7, IF(B112="Weekly",1, IF(B112="Every Other Day",4,"")))</f>
        <v>1</v>
      </c>
      <c r="F112" s="406">
        <f t="shared" ref="F112:F114" si="9">+D112*E112</f>
        <v>90</v>
      </c>
      <c r="G112" s="83"/>
      <c r="H112" s="434">
        <f>E115</f>
        <v>4</v>
      </c>
      <c r="I112" s="62" t="s">
        <v>221</v>
      </c>
      <c r="J112" s="448">
        <f>+H112*0.24</f>
        <v>0.96</v>
      </c>
      <c r="K112" s="439"/>
      <c r="L112" s="83"/>
      <c r="M112" s="83"/>
      <c r="N112" s="83"/>
      <c r="O112" s="83"/>
      <c r="P112" s="83"/>
      <c r="Q112" s="83"/>
    </row>
    <row r="113" spans="1:17" s="81" customFormat="1" x14ac:dyDescent="0.25">
      <c r="A113" s="193" t="s">
        <v>431</v>
      </c>
      <c r="B113" s="316" t="s">
        <v>206</v>
      </c>
      <c r="C113" s="192">
        <v>5900</v>
      </c>
      <c r="D113" s="199">
        <v>90</v>
      </c>
      <c r="E113" s="415">
        <f>IF(B113="Daily",7, IF(B113="Weekly",1, IF(B113="Every Other Day",4,"")))</f>
        <v>1</v>
      </c>
      <c r="F113" s="416">
        <f t="shared" si="9"/>
        <v>90</v>
      </c>
      <c r="G113" s="83"/>
      <c r="H113" s="434">
        <f>E115</f>
        <v>4</v>
      </c>
      <c r="I113" s="62" t="s">
        <v>200</v>
      </c>
      <c r="J113" s="448">
        <f>H113*0.05</f>
        <v>0.2</v>
      </c>
      <c r="K113" s="439"/>
      <c r="L113" s="83"/>
      <c r="M113" s="83"/>
      <c r="N113" s="83"/>
      <c r="O113" s="83"/>
      <c r="P113" s="83"/>
      <c r="Q113" s="83"/>
    </row>
    <row r="114" spans="1:17" s="81" customFormat="1" x14ac:dyDescent="0.25">
      <c r="A114" s="195" t="s">
        <v>442</v>
      </c>
      <c r="B114" s="101" t="s">
        <v>206</v>
      </c>
      <c r="C114" s="102">
        <v>5900</v>
      </c>
      <c r="D114" s="101">
        <v>90</v>
      </c>
      <c r="E114" s="417">
        <f>IF(B114="Daily",7, IF(B114="Weekly",1, IF(B114="Every Other Day",4,"")))</f>
        <v>1</v>
      </c>
      <c r="F114" s="407">
        <f t="shared" si="9"/>
        <v>90</v>
      </c>
      <c r="G114" s="83"/>
      <c r="H114" s="425">
        <v>0</v>
      </c>
      <c r="I114" s="71" t="s">
        <v>192</v>
      </c>
      <c r="J114" s="396">
        <f>H114*3.65</f>
        <v>0</v>
      </c>
      <c r="K114" s="97"/>
      <c r="L114" s="83"/>
      <c r="M114" s="83"/>
      <c r="N114" s="83"/>
      <c r="O114" s="83"/>
      <c r="P114" s="83"/>
      <c r="Q114" s="83"/>
    </row>
    <row r="115" spans="1:17" s="81" customFormat="1" x14ac:dyDescent="0.25">
      <c r="A115" s="88"/>
      <c r="B115" s="79"/>
      <c r="C115" s="80"/>
      <c r="D115" s="82"/>
      <c r="E115" s="418">
        <f>SUM(E111:E114)</f>
        <v>4</v>
      </c>
      <c r="F115" s="409">
        <f>SUM(F111:F114)</f>
        <v>360</v>
      </c>
      <c r="G115" s="83"/>
      <c r="H115" s="80"/>
      <c r="I115" s="414"/>
      <c r="J115" s="153">
        <f>SUM(J111:J114)</f>
        <v>173.12</v>
      </c>
      <c r="K115" s="367">
        <v>350</v>
      </c>
      <c r="L115" s="83"/>
      <c r="M115" s="433" t="s">
        <v>202</v>
      </c>
      <c r="N115" s="428">
        <f>+K115-J115</f>
        <v>176.88</v>
      </c>
      <c r="O115" s="83"/>
      <c r="P115" s="83"/>
      <c r="Q115" s="83"/>
    </row>
    <row r="116" spans="1:17" s="81" customFormat="1" x14ac:dyDescent="0.25">
      <c r="A116" s="88"/>
      <c r="B116" s="79"/>
      <c r="C116" s="80"/>
      <c r="D116" s="82"/>
      <c r="E116" s="440" t="s">
        <v>359</v>
      </c>
      <c r="F116" s="440">
        <f>+F115/300</f>
        <v>1.2</v>
      </c>
      <c r="G116" s="83"/>
      <c r="H116" s="80"/>
      <c r="I116" s="446" t="s">
        <v>189</v>
      </c>
      <c r="J116" s="112">
        <f>+J115/H111</f>
        <v>0.48088888888888892</v>
      </c>
      <c r="K116" s="112">
        <f>+K115/H111</f>
        <v>0.97222222222222221</v>
      </c>
      <c r="L116" s="83"/>
      <c r="M116" s="131"/>
      <c r="N116" s="131"/>
      <c r="O116" s="83"/>
      <c r="P116" s="83"/>
      <c r="Q116" s="83"/>
    </row>
    <row r="117" spans="1:17" s="81" customFormat="1" x14ac:dyDescent="0.25">
      <c r="A117" s="88"/>
      <c r="B117" s="79"/>
      <c r="C117" s="80"/>
      <c r="D117" s="82"/>
      <c r="E117" s="440"/>
      <c r="F117" s="440"/>
      <c r="G117" s="83"/>
      <c r="H117" s="80"/>
      <c r="I117" s="446"/>
      <c r="J117" s="112"/>
      <c r="K117" s="112"/>
      <c r="L117" s="83"/>
      <c r="M117" s="131"/>
      <c r="N117" s="131"/>
      <c r="O117" s="83"/>
      <c r="P117" s="83"/>
      <c r="Q117" s="83"/>
    </row>
    <row r="118" spans="1:17" s="135" customFormat="1" x14ac:dyDescent="0.25">
      <c r="A118" s="132"/>
      <c r="B118" s="133"/>
      <c r="C118" s="134"/>
      <c r="D118" s="136"/>
      <c r="E118" s="422"/>
      <c r="F118" s="423"/>
      <c r="H118" s="134"/>
      <c r="I118" s="452"/>
      <c r="J118" s="449"/>
      <c r="K118" s="140"/>
    </row>
    <row r="119" spans="1:17" s="98" customFormat="1" x14ac:dyDescent="0.25">
      <c r="B119" s="121"/>
      <c r="C119" s="80"/>
      <c r="D119" s="115"/>
      <c r="E119" s="404"/>
      <c r="F119" s="119"/>
      <c r="G119" s="117"/>
      <c r="I119" s="119"/>
      <c r="J119" s="119"/>
      <c r="L119" s="117"/>
      <c r="M119" s="117"/>
      <c r="N119" s="117"/>
      <c r="O119" s="117"/>
      <c r="P119" s="117"/>
      <c r="Q119" s="117"/>
    </row>
    <row r="120" spans="1:17" s="125" customFormat="1" ht="33.75" x14ac:dyDescent="0.4">
      <c r="A120" s="655" t="s">
        <v>460</v>
      </c>
      <c r="B120" s="148" t="s">
        <v>199</v>
      </c>
      <c r="C120" s="149" t="s">
        <v>196</v>
      </c>
      <c r="D120" s="148" t="s">
        <v>197</v>
      </c>
      <c r="E120" s="411" t="s">
        <v>198</v>
      </c>
      <c r="F120" s="412" t="s">
        <v>188</v>
      </c>
      <c r="G120" s="124"/>
      <c r="H120" s="434"/>
      <c r="I120" s="437"/>
      <c r="J120" s="447" t="s">
        <v>112</v>
      </c>
      <c r="K120" s="435" t="s">
        <v>144</v>
      </c>
      <c r="L120" s="124"/>
      <c r="M120" s="360"/>
      <c r="N120" s="124"/>
      <c r="O120" s="124"/>
      <c r="P120" s="124"/>
      <c r="Q120" s="124"/>
    </row>
    <row r="121" spans="1:17" s="81" customFormat="1" x14ac:dyDescent="0.25">
      <c r="A121" s="193" t="s">
        <v>443</v>
      </c>
      <c r="B121" s="199" t="s">
        <v>206</v>
      </c>
      <c r="C121" s="192">
        <v>6600</v>
      </c>
      <c r="D121" s="199">
        <v>100</v>
      </c>
      <c r="E121" s="413">
        <f>IF(B121="Daily",7, IF(B121="Weekly",1, IF(B121="Every Other Day",4,"")))</f>
        <v>1</v>
      </c>
      <c r="F121" s="406">
        <f>+D121*E121</f>
        <v>100</v>
      </c>
      <c r="G121" s="83"/>
      <c r="H121" s="436">
        <f>ROUNDUP(F125,0)</f>
        <v>400</v>
      </c>
      <c r="I121" s="437" t="s">
        <v>201</v>
      </c>
      <c r="J121" s="448">
        <f>F125*B6</f>
        <v>191.06666666666666</v>
      </c>
      <c r="K121" s="438">
        <f>+F125*E7</f>
        <v>324.40000000000003</v>
      </c>
      <c r="L121" s="83"/>
      <c r="M121" s="83"/>
      <c r="N121" s="83"/>
      <c r="O121" s="83"/>
      <c r="P121" s="83"/>
      <c r="Q121" s="83"/>
    </row>
    <row r="122" spans="1:17" s="81" customFormat="1" x14ac:dyDescent="0.25">
      <c r="A122" s="193" t="s">
        <v>444</v>
      </c>
      <c r="B122" s="199" t="s">
        <v>206</v>
      </c>
      <c r="C122" s="192">
        <v>6600</v>
      </c>
      <c r="D122" s="199">
        <v>100</v>
      </c>
      <c r="E122" s="415">
        <f>IF(B122="Daily",7, IF(B122="Weekly",1, IF(B122="Every Other Day",4,"")))</f>
        <v>1</v>
      </c>
      <c r="F122" s="406">
        <f t="shared" ref="F122:F124" si="10">+D122*E122</f>
        <v>100</v>
      </c>
      <c r="G122" s="83"/>
      <c r="H122" s="434">
        <f>E125</f>
        <v>4</v>
      </c>
      <c r="I122" s="62" t="s">
        <v>221</v>
      </c>
      <c r="J122" s="448">
        <f>+H122*0.24</f>
        <v>0.96</v>
      </c>
      <c r="K122" s="439"/>
      <c r="L122" s="83"/>
      <c r="M122" s="83"/>
      <c r="N122" s="83"/>
      <c r="O122" s="83"/>
      <c r="P122" s="83"/>
      <c r="Q122" s="83"/>
    </row>
    <row r="123" spans="1:17" s="81" customFormat="1" x14ac:dyDescent="0.25">
      <c r="A123" s="193" t="s">
        <v>445</v>
      </c>
      <c r="B123" s="316" t="s">
        <v>206</v>
      </c>
      <c r="C123" s="192">
        <v>6600</v>
      </c>
      <c r="D123" s="199">
        <v>100</v>
      </c>
      <c r="E123" s="415">
        <f>IF(B123="Daily",7, IF(B123="Weekly",1, IF(B123="Every Other Day",4,"")))</f>
        <v>1</v>
      </c>
      <c r="F123" s="416">
        <f t="shared" si="10"/>
        <v>100</v>
      </c>
      <c r="G123" s="83"/>
      <c r="H123" s="434">
        <f>E125</f>
        <v>4</v>
      </c>
      <c r="I123" s="62" t="s">
        <v>200</v>
      </c>
      <c r="J123" s="448">
        <f>H123*0.05</f>
        <v>0.2</v>
      </c>
      <c r="K123" s="439"/>
      <c r="L123" s="83"/>
      <c r="M123" s="83"/>
      <c r="N123" s="83"/>
      <c r="O123" s="83"/>
      <c r="P123" s="83"/>
      <c r="Q123" s="83">
        <f>13220.93-794</f>
        <v>12426.93</v>
      </c>
    </row>
    <row r="124" spans="1:17" s="81" customFormat="1" x14ac:dyDescent="0.25">
      <c r="A124" s="195" t="s">
        <v>446</v>
      </c>
      <c r="B124" s="101" t="s">
        <v>206</v>
      </c>
      <c r="C124" s="102">
        <v>6600</v>
      </c>
      <c r="D124" s="101">
        <v>100</v>
      </c>
      <c r="E124" s="417">
        <f>IF(B124="Daily",7, IF(B124="Weekly",1, IF(B124="Every Other Day",4,"")))</f>
        <v>1</v>
      </c>
      <c r="F124" s="407">
        <f t="shared" si="10"/>
        <v>100</v>
      </c>
      <c r="G124" s="83"/>
      <c r="H124" s="425">
        <v>0</v>
      </c>
      <c r="I124" s="71" t="s">
        <v>192</v>
      </c>
      <c r="J124" s="396">
        <f>H124*3.65</f>
        <v>0</v>
      </c>
      <c r="K124" s="97"/>
      <c r="L124" s="83"/>
      <c r="M124" s="83"/>
      <c r="N124" s="83"/>
      <c r="O124" s="83"/>
      <c r="P124" s="83"/>
      <c r="Q124" s="83"/>
    </row>
    <row r="125" spans="1:17" s="81" customFormat="1" x14ac:dyDescent="0.25">
      <c r="A125" s="88"/>
      <c r="B125" s="79"/>
      <c r="C125" s="80"/>
      <c r="D125" s="82"/>
      <c r="E125" s="418">
        <f>SUM(E121:E124)</f>
        <v>4</v>
      </c>
      <c r="F125" s="409">
        <f>SUM(F121:F124)</f>
        <v>400</v>
      </c>
      <c r="G125" s="83"/>
      <c r="H125" s="80"/>
      <c r="I125" s="414"/>
      <c r="J125" s="153">
        <f>SUM(J121:J124)</f>
        <v>192.22666666666666</v>
      </c>
      <c r="K125" s="367">
        <v>350</v>
      </c>
      <c r="L125" s="83"/>
      <c r="M125" s="433" t="s">
        <v>202</v>
      </c>
      <c r="N125" s="428">
        <f>+K125-J125</f>
        <v>157.77333333333334</v>
      </c>
      <c r="O125" s="83"/>
      <c r="P125" s="83"/>
      <c r="Q125" s="83"/>
    </row>
    <row r="126" spans="1:17" s="81" customFormat="1" x14ac:dyDescent="0.25">
      <c r="A126" s="88"/>
      <c r="B126" s="79"/>
      <c r="C126" s="80"/>
      <c r="D126" s="82"/>
      <c r="E126" s="440" t="s">
        <v>359</v>
      </c>
      <c r="F126" s="440">
        <f>+F125/300</f>
        <v>1.3333333333333333</v>
      </c>
      <c r="G126" s="83"/>
      <c r="H126" s="80"/>
      <c r="I126" s="446" t="s">
        <v>189</v>
      </c>
      <c r="J126" s="112">
        <f>+J125/H121</f>
        <v>0.48056666666666664</v>
      </c>
      <c r="K126" s="112">
        <f>+K125/H121</f>
        <v>0.875</v>
      </c>
      <c r="L126" s="83"/>
      <c r="M126" s="131"/>
      <c r="N126" s="131"/>
      <c r="O126" s="83"/>
      <c r="P126" s="83"/>
      <c r="Q126" s="83"/>
    </row>
    <row r="127" spans="1:17" s="81" customFormat="1" x14ac:dyDescent="0.25">
      <c r="A127" s="88"/>
      <c r="B127" s="79"/>
      <c r="C127" s="80"/>
      <c r="D127" s="82"/>
      <c r="E127" s="440"/>
      <c r="F127" s="440"/>
      <c r="G127" s="83"/>
      <c r="H127" s="80"/>
      <c r="I127" s="446"/>
      <c r="J127" s="112"/>
      <c r="K127" s="112"/>
      <c r="L127" s="83"/>
      <c r="M127" s="131"/>
      <c r="N127" s="131"/>
      <c r="O127" s="83"/>
      <c r="P127" s="83"/>
      <c r="Q127" s="83"/>
    </row>
    <row r="128" spans="1:17" s="135" customFormat="1" x14ac:dyDescent="0.25">
      <c r="A128" s="132"/>
      <c r="B128" s="133"/>
      <c r="C128" s="134"/>
      <c r="D128" s="136"/>
      <c r="E128" s="422"/>
      <c r="F128" s="423"/>
      <c r="H128" s="134"/>
      <c r="I128" s="452"/>
      <c r="J128" s="449"/>
      <c r="K128" s="140"/>
    </row>
    <row r="129" spans="1:17" s="98" customFormat="1" x14ac:dyDescent="0.25">
      <c r="B129" s="121"/>
      <c r="C129" s="80"/>
      <c r="D129" s="115"/>
      <c r="E129" s="404"/>
      <c r="F129" s="119"/>
      <c r="G129" s="117"/>
      <c r="I129" s="119"/>
      <c r="J129" s="119"/>
      <c r="L129" s="117"/>
      <c r="M129" s="117"/>
      <c r="N129" s="117"/>
      <c r="O129" s="117"/>
      <c r="P129" s="117"/>
      <c r="Q129" s="117"/>
    </row>
    <row r="130" spans="1:17" s="125" customFormat="1" ht="33.75" x14ac:dyDescent="0.4">
      <c r="A130" s="655" t="s">
        <v>461</v>
      </c>
      <c r="B130" s="148" t="s">
        <v>199</v>
      </c>
      <c r="C130" s="149" t="s">
        <v>196</v>
      </c>
      <c r="D130" s="148" t="s">
        <v>197</v>
      </c>
      <c r="E130" s="411" t="s">
        <v>198</v>
      </c>
      <c r="F130" s="412" t="s">
        <v>188</v>
      </c>
      <c r="G130" s="124"/>
      <c r="H130" s="434"/>
      <c r="I130" s="437"/>
      <c r="J130" s="447" t="s">
        <v>112</v>
      </c>
      <c r="K130" s="435" t="s">
        <v>144</v>
      </c>
      <c r="L130" s="124"/>
      <c r="M130" s="360"/>
      <c r="N130" s="124"/>
      <c r="O130" s="124"/>
      <c r="P130" s="124"/>
      <c r="Q130" s="124"/>
    </row>
    <row r="131" spans="1:17" s="81" customFormat="1" x14ac:dyDescent="0.25">
      <c r="A131" s="193" t="s">
        <v>447</v>
      </c>
      <c r="B131" s="199" t="s">
        <v>206</v>
      </c>
      <c r="C131" s="192">
        <v>7300</v>
      </c>
      <c r="D131" s="199">
        <v>110</v>
      </c>
      <c r="E131" s="413">
        <f>IF(B131="Daily",7, IF(B131="Weekly",1, IF(B131="Every Other Day",4,"")))</f>
        <v>1</v>
      </c>
      <c r="F131" s="406">
        <f>+D131*E131</f>
        <v>110</v>
      </c>
      <c r="G131" s="83"/>
      <c r="H131" s="436">
        <f>ROUNDUP(F135,0)</f>
        <v>440</v>
      </c>
      <c r="I131" s="437" t="s">
        <v>201</v>
      </c>
      <c r="J131" s="448">
        <f>F135*B6</f>
        <v>210.17333333333335</v>
      </c>
      <c r="K131" s="438">
        <f>+F135*E7</f>
        <v>356.84000000000003</v>
      </c>
      <c r="L131" s="83"/>
      <c r="M131" s="83"/>
      <c r="N131" s="83"/>
      <c r="O131" s="83"/>
      <c r="P131" s="83"/>
      <c r="Q131" s="83"/>
    </row>
    <row r="132" spans="1:17" s="81" customFormat="1" x14ac:dyDescent="0.25">
      <c r="A132" s="193" t="s">
        <v>448</v>
      </c>
      <c r="B132" s="199" t="s">
        <v>206</v>
      </c>
      <c r="C132" s="192">
        <v>7300</v>
      </c>
      <c r="D132" s="199">
        <v>110</v>
      </c>
      <c r="E132" s="415">
        <f>IF(B132="Daily",7, IF(B132="Weekly",1, IF(B132="Every Other Day",4,"")))</f>
        <v>1</v>
      </c>
      <c r="F132" s="406">
        <f t="shared" ref="F132:F134" si="11">+D132*E132</f>
        <v>110</v>
      </c>
      <c r="G132" s="83"/>
      <c r="H132" s="434">
        <f>E135</f>
        <v>4</v>
      </c>
      <c r="I132" s="62" t="s">
        <v>221</v>
      </c>
      <c r="J132" s="448">
        <f>+H132*0.24</f>
        <v>0.96</v>
      </c>
      <c r="K132" s="439"/>
      <c r="L132" s="83"/>
      <c r="M132" s="83"/>
      <c r="N132" s="83"/>
      <c r="O132" s="83"/>
      <c r="P132" s="83"/>
      <c r="Q132" s="83"/>
    </row>
    <row r="133" spans="1:17" s="81" customFormat="1" x14ac:dyDescent="0.25">
      <c r="A133" s="193" t="s">
        <v>449</v>
      </c>
      <c r="B133" s="316" t="s">
        <v>206</v>
      </c>
      <c r="C133" s="192">
        <v>7300</v>
      </c>
      <c r="D133" s="199">
        <v>110</v>
      </c>
      <c r="E133" s="415">
        <f>IF(B133="Daily",7, IF(B133="Weekly",1, IF(B133="Every Other Day",4,"")))</f>
        <v>1</v>
      </c>
      <c r="F133" s="416">
        <f t="shared" si="11"/>
        <v>110</v>
      </c>
      <c r="G133" s="83"/>
      <c r="H133" s="434">
        <f>E135</f>
        <v>4</v>
      </c>
      <c r="I133" s="62" t="s">
        <v>200</v>
      </c>
      <c r="J133" s="448">
        <f>H133*0.05</f>
        <v>0.2</v>
      </c>
      <c r="K133" s="439"/>
      <c r="L133" s="83"/>
      <c r="M133" s="83"/>
      <c r="N133" s="83"/>
      <c r="O133" s="83"/>
      <c r="P133" s="83"/>
      <c r="Q133" s="83"/>
    </row>
    <row r="134" spans="1:17" s="81" customFormat="1" x14ac:dyDescent="0.25">
      <c r="A134" s="195" t="s">
        <v>450</v>
      </c>
      <c r="B134" s="101" t="s">
        <v>206</v>
      </c>
      <c r="C134" s="102">
        <v>7300</v>
      </c>
      <c r="D134" s="101">
        <v>110</v>
      </c>
      <c r="E134" s="417">
        <f>IF(B134="Daily",7, IF(B134="Weekly",1, IF(B134="Every Other Day",4,"")))</f>
        <v>1</v>
      </c>
      <c r="F134" s="407">
        <f t="shared" si="11"/>
        <v>110</v>
      </c>
      <c r="G134" s="83"/>
      <c r="H134" s="425">
        <v>0</v>
      </c>
      <c r="I134" s="71" t="s">
        <v>192</v>
      </c>
      <c r="J134" s="396">
        <f>H134*3.65</f>
        <v>0</v>
      </c>
      <c r="K134" s="97"/>
      <c r="L134" s="83"/>
      <c r="M134" s="83"/>
      <c r="N134" s="83"/>
      <c r="O134" s="83"/>
      <c r="P134" s="83"/>
      <c r="Q134" s="83"/>
    </row>
    <row r="135" spans="1:17" s="81" customFormat="1" x14ac:dyDescent="0.25">
      <c r="A135" s="88"/>
      <c r="B135" s="79"/>
      <c r="C135" s="80"/>
      <c r="D135" s="82"/>
      <c r="E135" s="418">
        <f>SUM(E131:E134)</f>
        <v>4</v>
      </c>
      <c r="F135" s="409">
        <f>SUM(F131:F134)</f>
        <v>440</v>
      </c>
      <c r="G135" s="83"/>
      <c r="H135" s="80"/>
      <c r="I135" s="414"/>
      <c r="J135" s="153">
        <f>SUM(J131:J134)</f>
        <v>211.33333333333334</v>
      </c>
      <c r="K135" s="367">
        <v>350</v>
      </c>
      <c r="L135" s="83"/>
      <c r="M135" s="433" t="s">
        <v>202</v>
      </c>
      <c r="N135" s="428">
        <f>+K135-J135</f>
        <v>138.66666666666666</v>
      </c>
      <c r="O135" s="83"/>
      <c r="P135" s="83"/>
      <c r="Q135" s="83"/>
    </row>
    <row r="136" spans="1:17" s="81" customFormat="1" x14ac:dyDescent="0.25">
      <c r="A136" s="88"/>
      <c r="B136" s="79"/>
      <c r="C136" s="80"/>
      <c r="D136" s="82"/>
      <c r="E136" s="440" t="s">
        <v>359</v>
      </c>
      <c r="F136" s="440">
        <f>+F135/300</f>
        <v>1.4666666666666666</v>
      </c>
      <c r="G136" s="83"/>
      <c r="H136" s="80"/>
      <c r="I136" s="446" t="s">
        <v>189</v>
      </c>
      <c r="J136" s="112">
        <f>+J135/H131</f>
        <v>0.48030303030303034</v>
      </c>
      <c r="K136" s="112">
        <f>+K135/H131</f>
        <v>0.79545454545454541</v>
      </c>
      <c r="L136" s="83"/>
      <c r="M136" s="131"/>
      <c r="N136" s="131"/>
      <c r="O136" s="83"/>
      <c r="P136" s="83"/>
      <c r="Q136" s="83"/>
    </row>
    <row r="137" spans="1:17" s="81" customFormat="1" x14ac:dyDescent="0.25">
      <c r="A137" s="88"/>
      <c r="B137" s="79"/>
      <c r="C137" s="80"/>
      <c r="D137" s="82"/>
      <c r="E137" s="440"/>
      <c r="F137" s="440"/>
      <c r="G137" s="83"/>
      <c r="H137" s="80"/>
      <c r="I137" s="446"/>
      <c r="J137" s="112"/>
      <c r="K137" s="112"/>
      <c r="L137" s="83"/>
      <c r="M137" s="131"/>
      <c r="N137" s="131"/>
      <c r="O137" s="83"/>
      <c r="P137" s="83"/>
      <c r="Q137" s="83"/>
    </row>
    <row r="138" spans="1:17" s="135" customFormat="1" x14ac:dyDescent="0.25">
      <c r="A138" s="132"/>
      <c r="B138" s="133"/>
      <c r="C138" s="134"/>
      <c r="D138" s="136"/>
      <c r="E138" s="422"/>
      <c r="F138" s="423"/>
      <c r="H138" s="134"/>
      <c r="I138" s="452"/>
      <c r="J138" s="449"/>
      <c r="K138" s="140"/>
    </row>
    <row r="139" spans="1:17" s="98" customFormat="1" x14ac:dyDescent="0.25">
      <c r="B139" s="121"/>
      <c r="C139" s="80"/>
      <c r="D139" s="115"/>
      <c r="E139" s="404"/>
      <c r="F139" s="119"/>
      <c r="G139" s="117"/>
      <c r="I139" s="119"/>
      <c r="J139" s="119"/>
      <c r="L139" s="117"/>
      <c r="M139" s="117"/>
      <c r="N139" s="117"/>
      <c r="O139" s="117"/>
      <c r="P139" s="117"/>
      <c r="Q139" s="117"/>
    </row>
    <row r="140" spans="1:17" s="125" customFormat="1" ht="33.75" x14ac:dyDescent="0.4">
      <c r="A140" s="655" t="s">
        <v>462</v>
      </c>
      <c r="B140" s="148" t="s">
        <v>199</v>
      </c>
      <c r="C140" s="149" t="s">
        <v>196</v>
      </c>
      <c r="D140" s="148" t="s">
        <v>197</v>
      </c>
      <c r="E140" s="411" t="s">
        <v>198</v>
      </c>
      <c r="F140" s="412" t="s">
        <v>188</v>
      </c>
      <c r="G140" s="124"/>
      <c r="H140" s="434"/>
      <c r="I140" s="437"/>
      <c r="J140" s="447" t="s">
        <v>112</v>
      </c>
      <c r="K140" s="435" t="s">
        <v>144</v>
      </c>
      <c r="L140" s="124"/>
      <c r="M140" s="360"/>
      <c r="N140" s="124"/>
      <c r="O140" s="124"/>
      <c r="P140" s="124"/>
      <c r="Q140" s="124"/>
    </row>
    <row r="141" spans="1:17" s="81" customFormat="1" x14ac:dyDescent="0.25">
      <c r="A141" s="193" t="s">
        <v>451</v>
      </c>
      <c r="B141" s="199" t="s">
        <v>206</v>
      </c>
      <c r="C141" s="192">
        <v>8000</v>
      </c>
      <c r="D141" s="199">
        <v>120</v>
      </c>
      <c r="E141" s="413">
        <f>IF(B141="Daily",7, IF(B141="Weekly",1, IF(B141="Every Other Day",4,"")))</f>
        <v>1</v>
      </c>
      <c r="F141" s="406">
        <f>+D141*E141</f>
        <v>120</v>
      </c>
      <c r="G141" s="83"/>
      <c r="H141" s="436">
        <f>ROUNDUP(F145,0)</f>
        <v>480</v>
      </c>
      <c r="I141" s="437" t="s">
        <v>201</v>
      </c>
      <c r="J141" s="448">
        <f>F145*B6</f>
        <v>229.28</v>
      </c>
      <c r="K141" s="438">
        <f>+F145*E7</f>
        <v>389.28000000000003</v>
      </c>
      <c r="L141" s="83"/>
      <c r="M141" s="83"/>
      <c r="N141" s="83"/>
      <c r="O141" s="83"/>
      <c r="P141" s="83"/>
      <c r="Q141" s="83"/>
    </row>
    <row r="142" spans="1:17" s="81" customFormat="1" x14ac:dyDescent="0.25">
      <c r="A142" s="193" t="s">
        <v>452</v>
      </c>
      <c r="B142" s="199" t="s">
        <v>206</v>
      </c>
      <c r="C142" s="192">
        <v>8000</v>
      </c>
      <c r="D142" s="199">
        <v>120</v>
      </c>
      <c r="E142" s="415">
        <f>IF(B142="Daily",7, IF(B142="Weekly",1, IF(B142="Every Other Day",4,"")))</f>
        <v>1</v>
      </c>
      <c r="F142" s="406">
        <f t="shared" ref="F142:F144" si="12">+D142*E142</f>
        <v>120</v>
      </c>
      <c r="G142" s="83"/>
      <c r="H142" s="434">
        <f>E145</f>
        <v>4</v>
      </c>
      <c r="I142" s="62" t="s">
        <v>221</v>
      </c>
      <c r="J142" s="448">
        <f>+H142*0.24</f>
        <v>0.96</v>
      </c>
      <c r="K142" s="439"/>
      <c r="L142" s="83"/>
      <c r="M142" s="83"/>
      <c r="N142" s="83"/>
      <c r="O142" s="83"/>
      <c r="P142" s="83"/>
      <c r="Q142" s="83"/>
    </row>
    <row r="143" spans="1:17" s="81" customFormat="1" x14ac:dyDescent="0.25">
      <c r="A143" s="193" t="s">
        <v>453</v>
      </c>
      <c r="B143" s="316" t="s">
        <v>206</v>
      </c>
      <c r="C143" s="192">
        <v>8000</v>
      </c>
      <c r="D143" s="199">
        <v>120</v>
      </c>
      <c r="E143" s="415">
        <f>IF(B143="Daily",7, IF(B143="Weekly",1, IF(B143="Every Other Day",4,"")))</f>
        <v>1</v>
      </c>
      <c r="F143" s="416">
        <f t="shared" si="12"/>
        <v>120</v>
      </c>
      <c r="G143" s="83"/>
      <c r="H143" s="434">
        <f>E145</f>
        <v>4</v>
      </c>
      <c r="I143" s="62" t="s">
        <v>200</v>
      </c>
      <c r="J143" s="448">
        <f>H143*0.05</f>
        <v>0.2</v>
      </c>
      <c r="K143" s="439"/>
      <c r="L143" s="83"/>
      <c r="M143" s="83"/>
      <c r="N143" s="83"/>
      <c r="O143" s="83"/>
      <c r="P143" s="83"/>
      <c r="Q143" s="83"/>
    </row>
    <row r="144" spans="1:17" s="81" customFormat="1" x14ac:dyDescent="0.25">
      <c r="A144" s="195" t="s">
        <v>454</v>
      </c>
      <c r="B144" s="101" t="s">
        <v>206</v>
      </c>
      <c r="C144" s="102">
        <v>8000</v>
      </c>
      <c r="D144" s="101">
        <v>120</v>
      </c>
      <c r="E144" s="417">
        <f>IF(B144="Daily",7, IF(B144="Weekly",1, IF(B144="Every Other Day",4,"")))</f>
        <v>1</v>
      </c>
      <c r="F144" s="407">
        <f t="shared" si="12"/>
        <v>120</v>
      </c>
      <c r="G144" s="83"/>
      <c r="H144" s="425">
        <v>0</v>
      </c>
      <c r="I144" s="71" t="s">
        <v>192</v>
      </c>
      <c r="J144" s="396">
        <f>H144*3.65</f>
        <v>0</v>
      </c>
      <c r="K144" s="97"/>
      <c r="L144" s="83"/>
      <c r="M144" s="83"/>
      <c r="N144" s="83"/>
      <c r="O144" s="83"/>
      <c r="P144" s="83"/>
      <c r="Q144" s="83"/>
    </row>
    <row r="145" spans="1:17" s="81" customFormat="1" x14ac:dyDescent="0.25">
      <c r="A145" s="88"/>
      <c r="B145" s="79"/>
      <c r="C145" s="80"/>
      <c r="D145" s="82"/>
      <c r="E145" s="418">
        <f>SUM(E141:E144)</f>
        <v>4</v>
      </c>
      <c r="F145" s="409">
        <f>SUM(F141:F144)</f>
        <v>480</v>
      </c>
      <c r="G145" s="83"/>
      <c r="H145" s="80"/>
      <c r="I145" s="414"/>
      <c r="J145" s="153">
        <f>SUM(J141:J144)</f>
        <v>230.44</v>
      </c>
      <c r="K145" s="367">
        <v>350</v>
      </c>
      <c r="L145" s="83"/>
      <c r="M145" s="433" t="s">
        <v>202</v>
      </c>
      <c r="N145" s="428">
        <f>+K145-J145</f>
        <v>119.56</v>
      </c>
      <c r="O145" s="83"/>
      <c r="P145" s="83"/>
      <c r="Q145" s="83"/>
    </row>
    <row r="146" spans="1:17" s="81" customFormat="1" x14ac:dyDescent="0.25">
      <c r="A146" s="88"/>
      <c r="B146" s="79"/>
      <c r="C146" s="80"/>
      <c r="D146" s="82"/>
      <c r="E146" s="440" t="s">
        <v>359</v>
      </c>
      <c r="F146" s="440">
        <f>+F145/300</f>
        <v>1.6</v>
      </c>
      <c r="G146" s="83"/>
      <c r="H146" s="80"/>
      <c r="I146" s="446" t="s">
        <v>189</v>
      </c>
      <c r="J146" s="112">
        <f>+J145/H141</f>
        <v>0.48008333333333331</v>
      </c>
      <c r="K146" s="112">
        <f>+K145/H141</f>
        <v>0.72916666666666663</v>
      </c>
      <c r="L146" s="83"/>
      <c r="M146" s="131"/>
      <c r="N146" s="131"/>
      <c r="O146" s="83"/>
      <c r="P146" s="83"/>
      <c r="Q146" s="83"/>
    </row>
    <row r="147" spans="1:17" s="81" customFormat="1" x14ac:dyDescent="0.25">
      <c r="A147" s="88"/>
      <c r="B147" s="79"/>
      <c r="C147" s="80"/>
      <c r="D147" s="82"/>
      <c r="E147" s="440"/>
      <c r="F147" s="440"/>
      <c r="G147" s="83"/>
      <c r="H147" s="80"/>
      <c r="I147" s="446"/>
      <c r="J147" s="112"/>
      <c r="K147" s="112"/>
      <c r="L147" s="83"/>
      <c r="M147" s="131"/>
      <c r="N147" s="131"/>
      <c r="O147" s="83"/>
      <c r="P147" s="83"/>
      <c r="Q147" s="83"/>
    </row>
    <row r="148" spans="1:17" s="379" customFormat="1" x14ac:dyDescent="0.25">
      <c r="D148" s="380"/>
      <c r="E148" s="141"/>
      <c r="F148" s="141"/>
      <c r="G148" s="382"/>
      <c r="H148" s="383"/>
      <c r="I148" s="141"/>
      <c r="J148" s="141"/>
      <c r="K148" s="141"/>
    </row>
    <row r="149" spans="1:17" s="379" customFormat="1" x14ac:dyDescent="0.25">
      <c r="D149" s="380"/>
      <c r="E149" s="141"/>
      <c r="F149" s="141"/>
      <c r="G149" s="382"/>
      <c r="H149" s="383"/>
      <c r="I149" s="141"/>
      <c r="J149" s="141"/>
      <c r="K149" s="141"/>
    </row>
    <row r="150" spans="1:17" s="379" customFormat="1" x14ac:dyDescent="0.25">
      <c r="D150" s="380"/>
      <c r="E150" s="141"/>
      <c r="F150" s="141"/>
      <c r="G150" s="382"/>
      <c r="H150" s="383"/>
      <c r="I150" s="141"/>
      <c r="J150" s="141"/>
      <c r="K150" s="141"/>
    </row>
    <row r="153" spans="1:17" x14ac:dyDescent="0.25">
      <c r="A153" t="s">
        <v>351</v>
      </c>
    </row>
    <row r="154" spans="1:17" x14ac:dyDescent="0.25">
      <c r="D154" s="61" t="s">
        <v>375</v>
      </c>
    </row>
    <row r="155" spans="1:17" s="61" customFormat="1" x14ac:dyDescent="0.25">
      <c r="A155" s="61" t="s">
        <v>368</v>
      </c>
      <c r="D155" s="61" t="s">
        <v>369</v>
      </c>
      <c r="E155" s="453"/>
      <c r="F155" s="453"/>
      <c r="G155" s="458"/>
      <c r="H155" s="459"/>
      <c r="I155" s="453"/>
      <c r="J155" s="453"/>
      <c r="K155" s="453"/>
    </row>
    <row r="156" spans="1:17" x14ac:dyDescent="0.25">
      <c r="A156" t="s">
        <v>352</v>
      </c>
      <c r="B156" s="61"/>
      <c r="E156" s="62" t="s">
        <v>366</v>
      </c>
      <c r="F156" s="461">
        <f>F65</f>
        <v>160</v>
      </c>
    </row>
    <row r="157" spans="1:17" x14ac:dyDescent="0.25">
      <c r="A157" s="368" t="s">
        <v>364</v>
      </c>
      <c r="B157" s="460">
        <f>N65</f>
        <v>272.4133333333333</v>
      </c>
      <c r="E157" s="71" t="s">
        <v>360</v>
      </c>
      <c r="F157" s="71">
        <v>10</v>
      </c>
    </row>
    <row r="158" spans="1:17" x14ac:dyDescent="0.25">
      <c r="F158" s="62">
        <f>+F157*F156</f>
        <v>1600</v>
      </c>
      <c r="G158" s="13" t="s">
        <v>367</v>
      </c>
    </row>
    <row r="159" spans="1:17" x14ac:dyDescent="0.25">
      <c r="E159" s="453" t="s">
        <v>361</v>
      </c>
      <c r="F159" s="453">
        <f>+F158/300</f>
        <v>5.333333333333333</v>
      </c>
    </row>
    <row r="160" spans="1:17" x14ac:dyDescent="0.25">
      <c r="E160" s="62" t="s">
        <v>362</v>
      </c>
      <c r="F160" s="454">
        <f>+F159*100</f>
        <v>533.33333333333326</v>
      </c>
    </row>
    <row r="162" spans="1:12" x14ac:dyDescent="0.25">
      <c r="D162" s="455"/>
      <c r="E162" s="456" t="s">
        <v>363</v>
      </c>
      <c r="F162" s="457">
        <f>+F160/10</f>
        <v>53.333333333333329</v>
      </c>
    </row>
    <row r="165" spans="1:12" s="379" customFormat="1" x14ac:dyDescent="0.25">
      <c r="D165" s="380"/>
      <c r="E165" s="141"/>
      <c r="F165" s="141"/>
      <c r="G165" s="382"/>
      <c r="H165" s="383"/>
      <c r="I165" s="141"/>
      <c r="J165" s="141"/>
      <c r="K165" s="141"/>
    </row>
    <row r="166" spans="1:12" s="379" customFormat="1" x14ac:dyDescent="0.25">
      <c r="D166" s="380"/>
      <c r="E166" s="141"/>
      <c r="F166" s="141"/>
      <c r="G166" s="382"/>
      <c r="H166" s="383"/>
      <c r="I166" s="141"/>
      <c r="J166" s="141"/>
      <c r="K166" s="141"/>
    </row>
    <row r="167" spans="1:12" s="379" customFormat="1" x14ac:dyDescent="0.25">
      <c r="D167" s="380"/>
      <c r="E167" s="141"/>
      <c r="F167" s="141"/>
      <c r="G167" s="382"/>
      <c r="H167" s="383"/>
      <c r="I167" s="141"/>
      <c r="J167" s="141"/>
      <c r="K167" s="141"/>
    </row>
    <row r="170" spans="1:12" x14ac:dyDescent="0.25">
      <c r="A170" t="s">
        <v>387</v>
      </c>
      <c r="H170" t="s">
        <v>387</v>
      </c>
      <c r="I170"/>
      <c r="J170"/>
      <c r="K170" s="67"/>
      <c r="L170" s="62"/>
    </row>
    <row r="171" spans="1:12" x14ac:dyDescent="0.25">
      <c r="A171" s="61" t="s">
        <v>388</v>
      </c>
      <c r="H171" s="64" t="s">
        <v>390</v>
      </c>
      <c r="I171"/>
      <c r="J171"/>
      <c r="K171" s="67"/>
      <c r="L171" s="62"/>
    </row>
    <row r="172" spans="1:12" x14ac:dyDescent="0.25">
      <c r="H172"/>
      <c r="I172"/>
      <c r="J172"/>
      <c r="K172" s="67"/>
      <c r="L172" s="62"/>
    </row>
    <row r="173" spans="1:12" s="587" customFormat="1" x14ac:dyDescent="0.25">
      <c r="B173" s="587" t="s">
        <v>389</v>
      </c>
      <c r="C173" s="64" t="s">
        <v>113</v>
      </c>
      <c r="D173" s="593" t="s">
        <v>202</v>
      </c>
      <c r="E173" s="588"/>
      <c r="F173" s="588"/>
      <c r="G173" s="589"/>
      <c r="I173" s="587" t="s">
        <v>389</v>
      </c>
      <c r="J173" s="64" t="s">
        <v>113</v>
      </c>
      <c r="K173" s="593" t="s">
        <v>202</v>
      </c>
      <c r="L173" s="588"/>
    </row>
    <row r="174" spans="1:12" s="587" customFormat="1" x14ac:dyDescent="0.25">
      <c r="A174" s="599">
        <v>0</v>
      </c>
      <c r="B174" s="587">
        <v>350</v>
      </c>
      <c r="C174" s="600">
        <f>J65</f>
        <v>77.586666666666673</v>
      </c>
      <c r="D174" s="601">
        <f>+B174-C174</f>
        <v>272.4133333333333</v>
      </c>
      <c r="E174" s="588"/>
      <c r="F174" s="588"/>
      <c r="G174" s="589"/>
      <c r="H174" s="599">
        <v>0</v>
      </c>
      <c r="I174" s="587">
        <v>350</v>
      </c>
      <c r="J174" s="600">
        <f>J33</f>
        <v>24.206666666666667</v>
      </c>
      <c r="K174" s="601">
        <f>+I174-J174</f>
        <v>325.79333333333335</v>
      </c>
      <c r="L174" s="588"/>
    </row>
    <row r="175" spans="1:12" s="64" customFormat="1" x14ac:dyDescent="0.25">
      <c r="A175" s="596">
        <v>0.1</v>
      </c>
      <c r="B175" s="587">
        <f>0.9*B174</f>
        <v>315</v>
      </c>
      <c r="C175" s="600">
        <f>C174</f>
        <v>77.586666666666673</v>
      </c>
      <c r="D175" s="601">
        <f t="shared" ref="D175:D178" si="13">+B175-C175</f>
        <v>237.41333333333333</v>
      </c>
      <c r="E175" s="225"/>
      <c r="F175" s="225"/>
      <c r="G175" s="591"/>
      <c r="H175" s="596">
        <v>0.1</v>
      </c>
      <c r="I175" s="587">
        <f>0.9*I174</f>
        <v>315</v>
      </c>
      <c r="J175" s="600">
        <f>J174</f>
        <v>24.206666666666667</v>
      </c>
      <c r="K175" s="601">
        <f t="shared" ref="K175:K178" si="14">+I175-J175</f>
        <v>290.79333333333335</v>
      </c>
      <c r="L175" s="225"/>
    </row>
    <row r="176" spans="1:12" s="507" customFormat="1" x14ac:dyDescent="0.25">
      <c r="A176" s="597">
        <v>0.15</v>
      </c>
      <c r="B176" s="587">
        <f>+B174*0.85</f>
        <v>297.5</v>
      </c>
      <c r="C176" s="600">
        <f t="shared" ref="C176:C178" si="15">C175</f>
        <v>77.586666666666673</v>
      </c>
      <c r="D176" s="601">
        <f t="shared" si="13"/>
        <v>219.91333333333333</v>
      </c>
      <c r="E176" s="498"/>
      <c r="F176" s="498"/>
      <c r="G176" s="594"/>
      <c r="H176" s="597">
        <v>0.15</v>
      </c>
      <c r="I176" s="587">
        <f>+I174*0.85</f>
        <v>297.5</v>
      </c>
      <c r="J176" s="600">
        <f t="shared" ref="J176:J178" si="16">J175</f>
        <v>24.206666666666667</v>
      </c>
      <c r="K176" s="601">
        <f t="shared" si="14"/>
        <v>273.29333333333335</v>
      </c>
      <c r="L176" s="498"/>
    </row>
    <row r="177" spans="1:12" x14ac:dyDescent="0.25">
      <c r="A177" s="598">
        <v>0.2</v>
      </c>
      <c r="B177" s="587">
        <f>0.8*B174</f>
        <v>280</v>
      </c>
      <c r="C177" s="600">
        <f t="shared" si="15"/>
        <v>77.586666666666673</v>
      </c>
      <c r="D177" s="601">
        <f t="shared" si="13"/>
        <v>202.41333333333333</v>
      </c>
      <c r="H177" s="598">
        <v>0.2</v>
      </c>
      <c r="I177" s="587">
        <f>0.8*I174</f>
        <v>280</v>
      </c>
      <c r="J177" s="600">
        <f t="shared" si="16"/>
        <v>24.206666666666667</v>
      </c>
      <c r="K177" s="601">
        <f t="shared" si="14"/>
        <v>255.79333333333332</v>
      </c>
      <c r="L177" s="62"/>
    </row>
    <row r="178" spans="1:12" x14ac:dyDescent="0.25">
      <c r="A178" s="598">
        <v>0.25</v>
      </c>
      <c r="B178" s="587">
        <f>0.755*B174</f>
        <v>264.25</v>
      </c>
      <c r="C178" s="600">
        <f t="shared" si="15"/>
        <v>77.586666666666673</v>
      </c>
      <c r="D178" s="601">
        <f t="shared" si="13"/>
        <v>186.66333333333333</v>
      </c>
      <c r="H178" s="598">
        <v>0.25</v>
      </c>
      <c r="I178" s="587">
        <f>0.755*I174</f>
        <v>264.25</v>
      </c>
      <c r="J178" s="600">
        <f t="shared" si="16"/>
        <v>24.206666666666667</v>
      </c>
      <c r="K178" s="601">
        <f t="shared" si="14"/>
        <v>240.04333333333332</v>
      </c>
      <c r="L178" s="62"/>
    </row>
    <row r="179" spans="1:12" x14ac:dyDescent="0.25">
      <c r="B179" s="587"/>
      <c r="C179" s="64"/>
      <c r="D179" s="593"/>
    </row>
    <row r="180" spans="1:12" x14ac:dyDescent="0.25">
      <c r="B180" s="587"/>
      <c r="C180" s="64"/>
      <c r="D180" s="593"/>
    </row>
    <row r="181" spans="1:12" x14ac:dyDescent="0.25">
      <c r="B181" s="587"/>
      <c r="C181" s="64"/>
      <c r="D181" s="593"/>
    </row>
    <row r="182" spans="1:12" x14ac:dyDescent="0.25">
      <c r="C182" s="64"/>
      <c r="D182" s="593"/>
    </row>
  </sheetData>
  <mergeCells count="2">
    <mergeCell ref="E2:E3"/>
    <mergeCell ref="H2:L4"/>
  </mergeCells>
  <dataValidations count="1">
    <dataValidation type="list" allowBlank="1" showInputMessage="1" showErrorMessage="1" sqref="B61:B64 B30:B32 B51:B54 B39:B42 B71:B74 B81:B84 B91:B94 B101:B104 B111:B114 B121:B124 B131:B134 B141:B144" xr:uid="{B8776222-292D-4CF2-AD53-C585F2FF53FD}">
      <formula1>$N$1:$N$3</formula1>
    </dataValidation>
  </dataValidations>
  <pageMargins left="0.7" right="0.7" top="0.75" bottom="0.75" header="0.3" footer="0.3"/>
  <pageSetup scale="60" fitToHeight="10" orientation="landscape" r:id="rId1"/>
  <rowBreaks count="1" manualBreakCount="1">
    <brk id="4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77686-6325-4483-B425-4648934F5C29}">
  <sheetPr codeName="Sheet7">
    <pageSetUpPr fitToPage="1"/>
  </sheetPr>
  <dimension ref="A1:R101"/>
  <sheetViews>
    <sheetView topLeftCell="A55" workbookViewId="0">
      <selection activeCell="H33" sqref="H33"/>
    </sheetView>
  </sheetViews>
  <sheetFormatPr defaultColWidth="12.125" defaultRowHeight="15.75" x14ac:dyDescent="0.25"/>
  <cols>
    <col min="1" max="1" width="12.25" customWidth="1"/>
    <col min="4" max="4" width="12.125" style="67"/>
    <col min="6" max="6" width="12.125" style="62"/>
    <col min="7" max="7" width="12.125" style="13"/>
    <col min="8" max="8" width="12.125" style="96"/>
    <col min="11" max="11" width="12.125" style="62"/>
    <col min="13" max="13" width="12.125" style="62"/>
  </cols>
  <sheetData>
    <row r="1" spans="1:18" ht="30.75" customHeight="1" x14ac:dyDescent="0.55000000000000004">
      <c r="A1" s="234" t="s">
        <v>205</v>
      </c>
      <c r="B1" s="236"/>
      <c r="C1" s="236"/>
      <c r="E1" s="67"/>
      <c r="F1" s="398"/>
      <c r="G1"/>
      <c r="H1" s="13"/>
      <c r="I1" s="158"/>
      <c r="J1" s="287"/>
      <c r="K1" s="287"/>
      <c r="L1" s="117"/>
      <c r="N1" s="389" t="s">
        <v>203</v>
      </c>
    </row>
    <row r="2" spans="1:18" s="98" customFormat="1" x14ac:dyDescent="0.25">
      <c r="B2" s="200">
        <f>'Pep Costs'!B11</f>
        <v>150</v>
      </c>
      <c r="C2" s="462" t="s">
        <v>142</v>
      </c>
      <c r="F2" s="119"/>
      <c r="H2" s="117"/>
      <c r="I2" s="429"/>
      <c r="J2" s="430"/>
      <c r="K2" s="471"/>
      <c r="L2" s="117"/>
      <c r="N2" s="490" t="s">
        <v>187</v>
      </c>
      <c r="O2" s="117"/>
      <c r="P2" s="117"/>
      <c r="Q2" s="117"/>
      <c r="R2" s="117"/>
    </row>
    <row r="3" spans="1:18" s="98" customFormat="1" x14ac:dyDescent="0.25">
      <c r="B3" s="170">
        <v>3.3</v>
      </c>
      <c r="C3" s="463" t="s">
        <v>185</v>
      </c>
      <c r="F3" s="119"/>
      <c r="H3" s="117"/>
      <c r="I3" s="117"/>
      <c r="J3" s="117"/>
      <c r="K3" s="152"/>
      <c r="L3" s="117"/>
      <c r="N3" s="490" t="s">
        <v>206</v>
      </c>
      <c r="O3" s="117"/>
      <c r="P3" s="117"/>
      <c r="Q3" s="117"/>
      <c r="R3" s="117"/>
    </row>
    <row r="4" spans="1:18" s="98" customFormat="1" ht="35.25" customHeight="1" x14ac:dyDescent="0.4">
      <c r="B4" s="142">
        <v>15</v>
      </c>
      <c r="C4" s="664" t="s">
        <v>371</v>
      </c>
      <c r="D4" s="657"/>
      <c r="E4" s="464"/>
      <c r="F4" s="485" t="s">
        <v>348</v>
      </c>
      <c r="G4" s="470" t="s">
        <v>144</v>
      </c>
      <c r="H4" s="117"/>
      <c r="I4" s="158"/>
      <c r="J4" s="117"/>
      <c r="K4" s="152"/>
      <c r="L4" s="117"/>
      <c r="M4" s="119"/>
      <c r="N4" s="157" t="s">
        <v>282</v>
      </c>
      <c r="O4" s="117"/>
      <c r="P4" s="117"/>
      <c r="Q4" s="117"/>
      <c r="R4" s="117"/>
    </row>
    <row r="5" spans="1:18" s="98" customFormat="1" x14ac:dyDescent="0.25">
      <c r="A5" s="314"/>
      <c r="B5" s="87">
        <f>SUM(B2:B4)</f>
        <v>168.3</v>
      </c>
      <c r="E5" s="464"/>
      <c r="F5" s="485">
        <v>100</v>
      </c>
      <c r="G5" s="469">
        <f>+F5+B5</f>
        <v>268.3</v>
      </c>
      <c r="H5" s="117"/>
      <c r="I5" s="158"/>
      <c r="J5" s="117"/>
      <c r="K5" s="152"/>
      <c r="L5" s="117"/>
      <c r="M5" s="119"/>
      <c r="O5" s="117"/>
      <c r="P5" s="117"/>
      <c r="Q5" s="117"/>
      <c r="R5" s="117"/>
    </row>
    <row r="6" spans="1:18" s="98" customFormat="1" x14ac:dyDescent="0.25">
      <c r="A6" s="87"/>
      <c r="B6" s="87"/>
      <c r="F6" s="119"/>
      <c r="G6" s="130"/>
      <c r="H6" s="117"/>
      <c r="I6" s="158"/>
      <c r="J6" s="472"/>
      <c r="K6" s="152"/>
      <c r="L6" s="153"/>
      <c r="M6" s="289"/>
      <c r="N6" s="117"/>
      <c r="O6" s="117"/>
      <c r="P6" s="117"/>
      <c r="Q6" s="117"/>
      <c r="R6" s="117"/>
    </row>
    <row r="7" spans="1:18" s="98" customFormat="1" x14ac:dyDescent="0.25">
      <c r="A7" s="225" t="s">
        <v>189</v>
      </c>
      <c r="B7" s="87">
        <f>+B5/300</f>
        <v>0.56100000000000005</v>
      </c>
      <c r="F7" s="467" t="s">
        <v>189</v>
      </c>
      <c r="G7" s="468">
        <f>+G5/300</f>
        <v>0.89433333333333342</v>
      </c>
      <c r="H7" s="117"/>
      <c r="I7" s="80"/>
      <c r="K7" s="152"/>
      <c r="L7" s="153"/>
      <c r="M7" s="289"/>
      <c r="N7" s="117"/>
      <c r="O7" s="117"/>
      <c r="P7" s="117"/>
      <c r="Q7" s="117"/>
      <c r="R7" s="117"/>
    </row>
    <row r="8" spans="1:18" s="117" customFormat="1" x14ac:dyDescent="0.25">
      <c r="A8" s="225"/>
      <c r="B8" s="128"/>
      <c r="F8" s="467"/>
      <c r="G8" s="466"/>
      <c r="I8" s="158"/>
      <c r="K8" s="152"/>
      <c r="L8" s="153"/>
      <c r="M8" s="289"/>
    </row>
    <row r="9" spans="1:18" s="161" customFormat="1" x14ac:dyDescent="0.25">
      <c r="A9" s="141"/>
      <c r="B9" s="160"/>
      <c r="D9" s="307"/>
      <c r="E9" s="238"/>
      <c r="F9" s="486"/>
      <c r="H9" s="164"/>
      <c r="J9" s="165"/>
      <c r="K9" s="166"/>
      <c r="M9" s="401"/>
    </row>
    <row r="10" spans="1:18" s="161" customFormat="1" x14ac:dyDescent="0.25">
      <c r="A10" s="141"/>
      <c r="B10" s="160"/>
      <c r="D10" s="307"/>
      <c r="E10" s="238"/>
      <c r="F10" s="486"/>
      <c r="H10" s="164"/>
      <c r="J10" s="165"/>
      <c r="K10" s="166"/>
      <c r="M10" s="401"/>
    </row>
    <row r="11" spans="1:18" s="241" customFormat="1" x14ac:dyDescent="0.25">
      <c r="A11" s="186"/>
      <c r="B11" s="240"/>
      <c r="D11" s="308"/>
      <c r="E11" s="242"/>
      <c r="F11" s="487"/>
      <c r="H11" s="173"/>
      <c r="J11" s="244"/>
      <c r="K11" s="245"/>
      <c r="M11" s="491"/>
    </row>
    <row r="12" spans="1:18" s="117" customFormat="1" x14ac:dyDescent="0.25">
      <c r="A12" s="62"/>
      <c r="B12" s="128"/>
      <c r="D12" s="389"/>
      <c r="E12" s="388"/>
      <c r="F12" s="488"/>
      <c r="H12" s="158"/>
      <c r="J12" s="152"/>
      <c r="K12" s="153"/>
      <c r="M12" s="289"/>
    </row>
    <row r="13" spans="1:18" s="98" customFormat="1" x14ac:dyDescent="0.25">
      <c r="A13" s="168" t="s">
        <v>218</v>
      </c>
      <c r="B13" s="87"/>
      <c r="C13" s="80"/>
      <c r="D13" s="115"/>
      <c r="E13" s="116"/>
      <c r="F13" s="119"/>
      <c r="G13" s="117"/>
      <c r="H13" s="80"/>
      <c r="K13" s="280" t="s">
        <v>144</v>
      </c>
      <c r="L13" s="117"/>
      <c r="M13" s="289"/>
      <c r="N13" s="117"/>
      <c r="O13" s="117"/>
      <c r="P13" s="117"/>
      <c r="Q13" s="117"/>
    </row>
    <row r="14" spans="1:18" s="98" customFormat="1" x14ac:dyDescent="0.25">
      <c r="A14" s="15"/>
      <c r="B14" s="121"/>
      <c r="C14" s="80"/>
      <c r="D14" s="115"/>
      <c r="E14" s="116"/>
      <c r="F14" s="119"/>
      <c r="G14" s="117"/>
      <c r="H14" s="261">
        <f>ROUNDUP(F20,0)</f>
        <v>240</v>
      </c>
      <c r="I14" s="262" t="s">
        <v>201</v>
      </c>
      <c r="J14" s="87">
        <f>+B7*F20</f>
        <v>134.64000000000001</v>
      </c>
      <c r="K14" s="264">
        <f>+F20*G7</f>
        <v>214.64000000000001</v>
      </c>
      <c r="L14" s="117"/>
      <c r="M14" s="289"/>
      <c r="N14" s="117"/>
      <c r="O14" s="117"/>
      <c r="P14" s="117"/>
      <c r="Q14" s="117"/>
    </row>
    <row r="15" spans="1:18" s="125" customFormat="1" ht="31.5" x14ac:dyDescent="0.25">
      <c r="A15" s="182"/>
      <c r="B15" s="183" t="s">
        <v>199</v>
      </c>
      <c r="C15" s="184" t="s">
        <v>196</v>
      </c>
      <c r="D15" s="183" t="s">
        <v>197</v>
      </c>
      <c r="E15" s="169" t="s">
        <v>198</v>
      </c>
      <c r="F15" s="405" t="s">
        <v>188</v>
      </c>
      <c r="G15" s="124"/>
      <c r="H15" s="265">
        <v>0</v>
      </c>
      <c r="I15" s="309" t="s">
        <v>177</v>
      </c>
      <c r="J15" s="310">
        <f>+H15*45</f>
        <v>0</v>
      </c>
      <c r="K15" s="311"/>
      <c r="L15" s="124"/>
      <c r="M15" s="432"/>
      <c r="N15" s="124"/>
      <c r="O15" s="124"/>
      <c r="P15" s="124"/>
      <c r="Q15" s="124"/>
    </row>
    <row r="16" spans="1:18" s="81" customFormat="1" x14ac:dyDescent="0.25">
      <c r="A16" s="306" t="s">
        <v>219</v>
      </c>
      <c r="B16" s="251" t="s">
        <v>187</v>
      </c>
      <c r="C16" s="192">
        <v>1000</v>
      </c>
      <c r="D16" s="199">
        <v>15</v>
      </c>
      <c r="E16" s="254">
        <f>IF(B16="Daily",7, IF(B16="Weekly",1, IF(B16="Every Other Day",4,"")))</f>
        <v>4</v>
      </c>
      <c r="F16" s="475">
        <f>+D16*E16</f>
        <v>60</v>
      </c>
      <c r="G16" s="83"/>
      <c r="H16" s="266">
        <f>IF(E20&gt;=25, E20+2, E20+1)</f>
        <v>17</v>
      </c>
      <c r="I16" s="305" t="s">
        <v>217</v>
      </c>
      <c r="J16" s="87"/>
      <c r="K16" s="263"/>
      <c r="L16" s="83"/>
      <c r="M16" s="492"/>
      <c r="N16" s="83"/>
      <c r="O16" s="83"/>
      <c r="P16" s="83"/>
      <c r="Q16" s="83"/>
    </row>
    <row r="17" spans="1:17" s="81" customFormat="1" x14ac:dyDescent="0.25">
      <c r="A17" s="306" t="s">
        <v>219</v>
      </c>
      <c r="B17" s="251" t="s">
        <v>187</v>
      </c>
      <c r="C17" s="192">
        <v>1000</v>
      </c>
      <c r="D17" s="199">
        <v>15</v>
      </c>
      <c r="E17" s="256">
        <f>IF(B17="Daily",7, IF(B17="Weekly",1, IF(B17="Every Other Day",4,"")))</f>
        <v>4</v>
      </c>
      <c r="F17" s="475">
        <f t="shared" ref="F17:F19" si="0">+D17*E17</f>
        <v>60</v>
      </c>
      <c r="G17" s="83"/>
      <c r="H17" s="266">
        <f>ROUNDUP(F21,0)</f>
        <v>1</v>
      </c>
      <c r="I17" s="305" t="s">
        <v>190</v>
      </c>
      <c r="J17" s="87"/>
      <c r="K17" s="263"/>
      <c r="L17" s="83"/>
      <c r="M17" s="492"/>
      <c r="N17" s="83"/>
      <c r="O17" s="83"/>
      <c r="P17" s="83"/>
      <c r="Q17" s="83"/>
    </row>
    <row r="18" spans="1:17" s="81" customFormat="1" x14ac:dyDescent="0.25">
      <c r="A18" s="306" t="s">
        <v>219</v>
      </c>
      <c r="B18" s="251" t="s">
        <v>187</v>
      </c>
      <c r="C18" s="192">
        <v>1000</v>
      </c>
      <c r="D18" s="199">
        <v>15</v>
      </c>
      <c r="E18" s="256">
        <f>IF(B18="Daily",7, IF(B18="Weekly",1, IF(B18="Every Other Day",4,"")))</f>
        <v>4</v>
      </c>
      <c r="F18" s="475">
        <f t="shared" si="0"/>
        <v>60</v>
      </c>
      <c r="G18" s="83"/>
      <c r="H18" s="266">
        <f>H16</f>
        <v>17</v>
      </c>
      <c r="I18" s="305" t="s">
        <v>200</v>
      </c>
      <c r="J18" s="87"/>
      <c r="K18" s="263"/>
      <c r="L18" s="83"/>
      <c r="M18" s="492"/>
      <c r="N18" s="83"/>
      <c r="O18" s="83"/>
      <c r="P18" s="83"/>
      <c r="Q18" s="83"/>
    </row>
    <row r="19" spans="1:17" s="81" customFormat="1" x14ac:dyDescent="0.25">
      <c r="A19" s="306" t="s">
        <v>219</v>
      </c>
      <c r="B19" s="257" t="s">
        <v>187</v>
      </c>
      <c r="C19" s="102">
        <v>1000</v>
      </c>
      <c r="D19" s="101">
        <v>15</v>
      </c>
      <c r="E19" s="259">
        <f>IF(B19="Daily",7, IF(B19="Weekly",1, IF(B19="Every Other Day",4,"")))</f>
        <v>4</v>
      </c>
      <c r="F19" s="478">
        <f t="shared" si="0"/>
        <v>60</v>
      </c>
      <c r="G19" s="83"/>
      <c r="H19" s="252">
        <v>0</v>
      </c>
      <c r="I19" s="304" t="s">
        <v>192</v>
      </c>
      <c r="J19" s="142">
        <f>H19*3.65</f>
        <v>0</v>
      </c>
      <c r="K19" s="267"/>
      <c r="L19" s="83"/>
      <c r="M19" s="492"/>
      <c r="N19" s="83"/>
      <c r="O19" s="83"/>
      <c r="P19" s="83"/>
      <c r="Q19" s="83"/>
    </row>
    <row r="20" spans="1:17" s="81" customFormat="1" x14ac:dyDescent="0.25">
      <c r="A20" s="88"/>
      <c r="B20" s="79"/>
      <c r="C20" s="80"/>
      <c r="D20" s="82"/>
      <c r="E20" s="167">
        <f>SUM(E16:E19)</f>
        <v>16</v>
      </c>
      <c r="F20" s="409">
        <f>SUM(F16:F19)</f>
        <v>240</v>
      </c>
      <c r="G20" s="83"/>
      <c r="H20" s="266"/>
      <c r="I20" s="253"/>
      <c r="J20" s="128">
        <f>SUM(J14:J19)</f>
        <v>134.64000000000001</v>
      </c>
      <c r="K20" s="269">
        <f>ROUNDUP(SUM(K14:K19),0)</f>
        <v>215</v>
      </c>
      <c r="L20" s="83"/>
      <c r="M20" s="410" t="s">
        <v>202</v>
      </c>
      <c r="N20" s="112">
        <f>+K20-J20</f>
        <v>80.359999999999985</v>
      </c>
      <c r="P20" s="83"/>
      <c r="Q20" s="83"/>
    </row>
    <row r="21" spans="1:17" s="81" customFormat="1" x14ac:dyDescent="0.25">
      <c r="A21" s="88"/>
      <c r="B21" s="79"/>
      <c r="C21" s="80"/>
      <c r="D21" s="82"/>
      <c r="E21" s="89" t="s">
        <v>204</v>
      </c>
      <c r="F21" s="410">
        <f>+F20/300</f>
        <v>0.8</v>
      </c>
      <c r="G21" s="83"/>
      <c r="H21" s="80"/>
      <c r="I21" s="131" t="s">
        <v>189</v>
      </c>
      <c r="J21" s="113">
        <f>+J20/H14</f>
        <v>0.56100000000000005</v>
      </c>
      <c r="K21" s="112">
        <f>+K20/H14</f>
        <v>0.89583333333333337</v>
      </c>
      <c r="L21" s="83"/>
      <c r="M21" s="492"/>
      <c r="N21" s="83"/>
      <c r="O21" s="83"/>
      <c r="P21" s="83"/>
      <c r="Q21" s="83"/>
    </row>
    <row r="22" spans="1:17" s="81" customFormat="1" x14ac:dyDescent="0.25">
      <c r="A22" s="88"/>
      <c r="B22" s="79"/>
      <c r="C22" s="80"/>
      <c r="D22" s="82"/>
      <c r="E22" s="109"/>
      <c r="F22" s="414"/>
      <c r="G22" s="83"/>
      <c r="H22" s="80"/>
      <c r="I22" s="110"/>
      <c r="J22" s="111"/>
      <c r="K22" s="112"/>
      <c r="L22" s="83"/>
      <c r="M22" s="492"/>
      <c r="N22" s="83"/>
      <c r="O22" s="83"/>
      <c r="P22" s="83"/>
      <c r="Q22" s="83"/>
    </row>
    <row r="23" spans="1:17" s="174" customFormat="1" x14ac:dyDescent="0.25">
      <c r="A23" s="171"/>
      <c r="B23" s="172"/>
      <c r="C23" s="173"/>
      <c r="D23" s="175"/>
      <c r="E23" s="246"/>
      <c r="F23" s="489"/>
      <c r="H23" s="173"/>
      <c r="I23" s="247"/>
      <c r="J23" s="248"/>
      <c r="K23" s="249"/>
      <c r="M23" s="489"/>
    </row>
    <row r="24" spans="1:17" s="161" customFormat="1" x14ac:dyDescent="0.25">
      <c r="A24" s="159"/>
      <c r="B24" s="160"/>
      <c r="D24" s="162"/>
      <c r="E24" s="163"/>
      <c r="F24" s="401"/>
      <c r="H24" s="164"/>
      <c r="J24" s="165"/>
      <c r="K24" s="166"/>
      <c r="M24" s="401"/>
    </row>
    <row r="25" spans="1:17" s="161" customFormat="1" x14ac:dyDescent="0.25">
      <c r="A25" s="159"/>
      <c r="B25" s="160"/>
      <c r="D25" s="162"/>
      <c r="E25" s="163"/>
      <c r="F25" s="401"/>
      <c r="H25" s="164"/>
      <c r="J25" s="165"/>
      <c r="K25" s="166"/>
      <c r="M25" s="401"/>
    </row>
    <row r="26" spans="1:17" s="161" customFormat="1" x14ac:dyDescent="0.25">
      <c r="A26" s="159"/>
      <c r="B26" s="160"/>
      <c r="D26" s="162"/>
      <c r="E26" s="163"/>
      <c r="F26" s="401"/>
      <c r="H26" s="164"/>
      <c r="J26" s="165"/>
      <c r="K26" s="166"/>
      <c r="M26" s="401"/>
    </row>
    <row r="27" spans="1:17" s="161" customFormat="1" x14ac:dyDescent="0.25">
      <c r="A27" s="159"/>
      <c r="B27" s="160"/>
      <c r="D27" s="162"/>
      <c r="E27" s="163"/>
      <c r="F27" s="401"/>
      <c r="H27" s="164"/>
      <c r="J27" s="165"/>
      <c r="K27" s="166"/>
      <c r="M27" s="401"/>
    </row>
    <row r="28" spans="1:17" s="161" customFormat="1" x14ac:dyDescent="0.25">
      <c r="A28" s="159"/>
      <c r="B28" s="160"/>
      <c r="D28" s="162"/>
      <c r="E28" s="163"/>
      <c r="F28" s="401"/>
      <c r="H28" s="164"/>
      <c r="J28" s="165"/>
      <c r="K28" s="166"/>
      <c r="M28" s="401"/>
    </row>
    <row r="29" spans="1:17" s="98" customFormat="1" x14ac:dyDescent="0.25">
      <c r="A29" s="15"/>
      <c r="B29" s="87"/>
      <c r="C29" s="80"/>
      <c r="D29" s="115"/>
      <c r="E29" s="116"/>
      <c r="F29" s="119"/>
      <c r="G29" s="117"/>
      <c r="H29" s="80"/>
      <c r="J29" s="152"/>
      <c r="K29" s="153"/>
      <c r="L29" s="117"/>
      <c r="M29" s="289"/>
      <c r="N29" s="117"/>
      <c r="O29" s="117"/>
      <c r="P29" s="117"/>
      <c r="Q29" s="117"/>
    </row>
    <row r="30" spans="1:17" s="98" customFormat="1" ht="18" x14ac:dyDescent="0.4">
      <c r="A30" s="15"/>
      <c r="B30" s="87"/>
      <c r="C30" s="80"/>
      <c r="D30" s="115"/>
      <c r="E30" s="116"/>
      <c r="F30" s="119"/>
      <c r="G30" s="117"/>
      <c r="H30" s="80"/>
      <c r="J30" s="424" t="s">
        <v>112</v>
      </c>
      <c r="K30" s="114" t="s">
        <v>144</v>
      </c>
      <c r="L30" s="117"/>
      <c r="M30" s="289"/>
      <c r="N30" s="117"/>
      <c r="O30" s="117"/>
      <c r="P30" s="117"/>
      <c r="Q30" s="117"/>
    </row>
    <row r="31" spans="1:17" s="98" customFormat="1" x14ac:dyDescent="0.25">
      <c r="A31" s="15"/>
      <c r="B31" s="121"/>
      <c r="C31" s="80"/>
      <c r="D31" s="115"/>
      <c r="E31" s="116"/>
      <c r="F31" s="119"/>
      <c r="G31" s="117"/>
      <c r="H31" s="118">
        <f>ROUNDUP(F37,0)</f>
        <v>238</v>
      </c>
      <c r="I31" s="119" t="s">
        <v>201</v>
      </c>
      <c r="J31" s="87">
        <f>F37*B7</f>
        <v>133.518</v>
      </c>
      <c r="K31" s="120">
        <f>+F37*G7</f>
        <v>212.85133333333334</v>
      </c>
      <c r="L31" s="117"/>
      <c r="M31" s="289"/>
      <c r="N31" s="117"/>
      <c r="O31" s="117"/>
      <c r="P31" s="117"/>
      <c r="Q31" s="117"/>
    </row>
    <row r="32" spans="1:17" s="125" customFormat="1" ht="31.5" x14ac:dyDescent="0.25">
      <c r="A32" s="653" t="s">
        <v>266</v>
      </c>
      <c r="B32" s="148" t="s">
        <v>199</v>
      </c>
      <c r="C32" s="149" t="s">
        <v>196</v>
      </c>
      <c r="D32" s="148" t="s">
        <v>197</v>
      </c>
      <c r="E32" s="122" t="s">
        <v>198</v>
      </c>
      <c r="F32" s="412" t="s">
        <v>188</v>
      </c>
      <c r="G32" s="124"/>
      <c r="H32" s="302">
        <v>1</v>
      </c>
      <c r="I32" s="62" t="s">
        <v>177</v>
      </c>
      <c r="J32" s="87">
        <f>+H32*45</f>
        <v>45</v>
      </c>
      <c r="K32" s="93">
        <f>H32*85</f>
        <v>85</v>
      </c>
      <c r="L32" s="124"/>
      <c r="M32" s="432"/>
      <c r="N32" s="124"/>
      <c r="O32" s="124"/>
      <c r="P32" s="124"/>
      <c r="Q32" s="124"/>
    </row>
    <row r="33" spans="1:17" s="81" customFormat="1" x14ac:dyDescent="0.25">
      <c r="A33" s="78" t="s">
        <v>108</v>
      </c>
      <c r="B33" s="199" t="s">
        <v>203</v>
      </c>
      <c r="C33" s="192">
        <v>500</v>
      </c>
      <c r="D33" s="199">
        <v>7</v>
      </c>
      <c r="E33" s="145">
        <f>IF(B33="Daily",7, IF(B33="Weekly",1, IF(B33="Every Other Day",4,"")))</f>
        <v>7</v>
      </c>
      <c r="F33" s="406">
        <f>+D33*E33</f>
        <v>49</v>
      </c>
      <c r="G33" s="83"/>
      <c r="H33" s="80">
        <f>IF(E37&gt;=25, E37+2, E37+1)</f>
        <v>30</v>
      </c>
      <c r="I33" s="62" t="s">
        <v>217</v>
      </c>
      <c r="J33" s="87"/>
      <c r="K33" s="93"/>
      <c r="L33" s="83"/>
      <c r="M33" s="492"/>
      <c r="N33" s="83"/>
      <c r="O33" s="83"/>
      <c r="P33" s="83"/>
      <c r="Q33" s="83"/>
    </row>
    <row r="34" spans="1:17" s="81" customFormat="1" x14ac:dyDescent="0.25">
      <c r="A34" s="78" t="s">
        <v>109</v>
      </c>
      <c r="B34" s="199" t="s">
        <v>203</v>
      </c>
      <c r="C34" s="192">
        <v>500</v>
      </c>
      <c r="D34" s="199">
        <v>7</v>
      </c>
      <c r="E34" s="147">
        <f>IF(B34="Daily",7, IF(B34="Weekly",1, IF(B34="Every Other Day",4,"")))</f>
        <v>7</v>
      </c>
      <c r="F34" s="406">
        <f t="shared" ref="F34:F36" si="1">+D34*E34</f>
        <v>49</v>
      </c>
      <c r="G34" s="83"/>
      <c r="H34" s="80">
        <f>ROUNDUP(F38,0)</f>
        <v>1</v>
      </c>
      <c r="I34" s="62" t="s">
        <v>190</v>
      </c>
      <c r="J34" s="87"/>
      <c r="K34" s="93"/>
      <c r="L34" s="83"/>
      <c r="M34" s="492"/>
      <c r="N34" s="83"/>
      <c r="O34" s="83"/>
      <c r="P34" s="83"/>
      <c r="Q34" s="83"/>
    </row>
    <row r="35" spans="1:17" s="81" customFormat="1" x14ac:dyDescent="0.25">
      <c r="A35" s="78" t="s">
        <v>110</v>
      </c>
      <c r="B35" s="199" t="s">
        <v>203</v>
      </c>
      <c r="C35" s="192">
        <v>666</v>
      </c>
      <c r="D35" s="199">
        <v>10</v>
      </c>
      <c r="E35" s="147">
        <f>IF(B35="Daily",7, IF(B35="Weekly",1, IF(B35="Every Other Day",4,"")))</f>
        <v>7</v>
      </c>
      <c r="F35" s="406">
        <f t="shared" si="1"/>
        <v>70</v>
      </c>
      <c r="G35" s="83"/>
      <c r="H35" s="80">
        <f>H33</f>
        <v>30</v>
      </c>
      <c r="I35" s="62" t="s">
        <v>200</v>
      </c>
      <c r="J35" s="87"/>
      <c r="K35" s="93"/>
      <c r="L35" s="83"/>
      <c r="M35" s="492"/>
      <c r="N35" s="83"/>
      <c r="O35" s="83"/>
      <c r="P35" s="83"/>
      <c r="Q35" s="83"/>
    </row>
    <row r="36" spans="1:17" s="81" customFormat="1" x14ac:dyDescent="0.25">
      <c r="A36" s="100" t="s">
        <v>141</v>
      </c>
      <c r="B36" s="101" t="s">
        <v>203</v>
      </c>
      <c r="C36" s="102">
        <v>666</v>
      </c>
      <c r="D36" s="101">
        <v>10</v>
      </c>
      <c r="E36" s="144">
        <f>IF(B36="Daily",7, IF(B36="Weekly",1, IF(B36="Every Other Day",4,"")))</f>
        <v>7</v>
      </c>
      <c r="F36" s="407">
        <f t="shared" si="1"/>
        <v>70</v>
      </c>
      <c r="G36" s="83"/>
      <c r="H36" s="303">
        <v>1</v>
      </c>
      <c r="I36" s="71" t="s">
        <v>192</v>
      </c>
      <c r="J36" s="142">
        <f>H36*3.65</f>
        <v>3.65</v>
      </c>
      <c r="K36" s="143"/>
      <c r="L36" s="83"/>
      <c r="M36" s="492"/>
      <c r="N36" s="83"/>
      <c r="O36" s="83"/>
      <c r="P36" s="83"/>
      <c r="Q36" s="83"/>
    </row>
    <row r="37" spans="1:17" s="81" customFormat="1" x14ac:dyDescent="0.25">
      <c r="A37" s="88"/>
      <c r="B37" s="79"/>
      <c r="C37" s="80"/>
      <c r="D37" s="82"/>
      <c r="E37" s="167">
        <f>SUM(E33:E36)</f>
        <v>28</v>
      </c>
      <c r="F37" s="409">
        <f>SUM(F33:F36)</f>
        <v>238</v>
      </c>
      <c r="G37" s="83"/>
      <c r="H37" s="80"/>
      <c r="J37" s="128">
        <f>SUM(J31:J36)</f>
        <v>182.16800000000001</v>
      </c>
      <c r="K37" s="129">
        <f>ROUNDUP(SUM(K31:K36),0)</f>
        <v>298</v>
      </c>
      <c r="L37" s="83"/>
      <c r="M37" s="433" t="s">
        <v>202</v>
      </c>
      <c r="N37" s="428">
        <f>+K37-J37</f>
        <v>115.83199999999999</v>
      </c>
      <c r="P37" s="83"/>
      <c r="Q37" s="83"/>
    </row>
    <row r="38" spans="1:17" s="81" customFormat="1" x14ac:dyDescent="0.25">
      <c r="A38" s="88"/>
      <c r="B38" s="79"/>
      <c r="C38" s="80"/>
      <c r="D38" s="82"/>
      <c r="E38" s="441" t="s">
        <v>204</v>
      </c>
      <c r="F38" s="440">
        <f>+F37/300</f>
        <v>0.79333333333333333</v>
      </c>
      <c r="G38" s="83"/>
      <c r="H38" s="80"/>
      <c r="I38" s="131" t="s">
        <v>189</v>
      </c>
      <c r="J38" s="113">
        <f>+J37/H31</f>
        <v>0.76541176470588235</v>
      </c>
      <c r="K38" s="112">
        <f>+K37/H31</f>
        <v>1.2521008403361344</v>
      </c>
      <c r="L38" s="83"/>
      <c r="M38" s="492"/>
      <c r="N38" s="83"/>
      <c r="O38" s="83"/>
      <c r="P38" s="83"/>
      <c r="Q38" s="83"/>
    </row>
    <row r="39" spans="1:17" s="81" customFormat="1" x14ac:dyDescent="0.25">
      <c r="A39" s="88"/>
      <c r="B39" s="79"/>
      <c r="C39" s="80"/>
      <c r="D39" s="82"/>
      <c r="E39" s="441"/>
      <c r="F39" s="440"/>
      <c r="G39" s="83"/>
      <c r="H39" s="80"/>
      <c r="I39" s="131"/>
      <c r="J39" s="113"/>
      <c r="K39" s="112"/>
      <c r="L39" s="83"/>
      <c r="M39" s="492"/>
      <c r="N39" s="83"/>
      <c r="O39" s="83"/>
      <c r="P39" s="83"/>
      <c r="Q39" s="83"/>
    </row>
    <row r="40" spans="1:17" s="81" customFormat="1" x14ac:dyDescent="0.25">
      <c r="A40" s="88"/>
      <c r="B40" s="79"/>
      <c r="C40" s="80"/>
      <c r="D40" s="82"/>
      <c r="E40" s="109"/>
      <c r="F40" s="414"/>
      <c r="G40" s="83"/>
      <c r="H40" s="80"/>
      <c r="L40" s="83"/>
      <c r="M40" s="492"/>
      <c r="N40" s="83"/>
      <c r="O40" s="83"/>
      <c r="P40" s="83"/>
      <c r="Q40" s="83"/>
    </row>
    <row r="41" spans="1:17" s="107" customFormat="1" x14ac:dyDescent="0.25">
      <c r="A41" s="104"/>
      <c r="B41" s="105"/>
      <c r="C41" s="106"/>
      <c r="D41" s="108"/>
      <c r="E41" s="151"/>
      <c r="F41" s="421"/>
      <c r="H41" s="106"/>
      <c r="M41" s="421"/>
    </row>
    <row r="42" spans="1:17" s="98" customFormat="1" x14ac:dyDescent="0.25">
      <c r="A42" s="15"/>
      <c r="B42" s="87"/>
      <c r="C42" s="80"/>
      <c r="D42" s="115"/>
      <c r="E42" s="116"/>
      <c r="F42" s="119"/>
      <c r="G42" s="117"/>
      <c r="H42" s="80"/>
      <c r="J42" s="152"/>
      <c r="K42" s="153"/>
      <c r="L42" s="117"/>
      <c r="M42" s="289"/>
      <c r="N42" s="117"/>
      <c r="O42" s="117"/>
      <c r="P42" s="117"/>
      <c r="Q42" s="117"/>
    </row>
    <row r="43" spans="1:17" s="98" customFormat="1" ht="18" x14ac:dyDescent="0.4">
      <c r="A43" s="15"/>
      <c r="B43" s="87"/>
      <c r="C43" s="80"/>
      <c r="D43" s="115"/>
      <c r="E43" s="116"/>
      <c r="F43" s="119"/>
      <c r="G43" s="117"/>
      <c r="H43" s="80"/>
      <c r="J43" s="424" t="s">
        <v>112</v>
      </c>
      <c r="K43" s="114" t="s">
        <v>144</v>
      </c>
      <c r="L43" s="117"/>
      <c r="M43" s="289"/>
      <c r="N43" s="117"/>
      <c r="O43" s="117"/>
      <c r="P43" s="117"/>
      <c r="Q43" s="117"/>
    </row>
    <row r="44" spans="1:17" s="98" customFormat="1" x14ac:dyDescent="0.25">
      <c r="A44" s="15"/>
      <c r="B44" s="121"/>
      <c r="C44" s="80"/>
      <c r="D44" s="115"/>
      <c r="E44" s="116"/>
      <c r="F44" s="119"/>
      <c r="G44" s="117"/>
      <c r="H44" s="118">
        <f>ROUNDUP(F50,0)</f>
        <v>420</v>
      </c>
      <c r="I44" s="119" t="s">
        <v>201</v>
      </c>
      <c r="J44" s="87">
        <f>+B7*F50</f>
        <v>235.62000000000003</v>
      </c>
      <c r="K44" s="120">
        <f>+F50*G7</f>
        <v>375.62000000000006</v>
      </c>
      <c r="L44" s="117"/>
      <c r="M44" s="289"/>
      <c r="N44" s="117"/>
      <c r="O44" s="117"/>
      <c r="P44" s="117"/>
      <c r="Q44" s="117"/>
    </row>
    <row r="45" spans="1:17" s="125" customFormat="1" ht="31.5" x14ac:dyDescent="0.25">
      <c r="A45" s="653" t="s">
        <v>268</v>
      </c>
      <c r="B45" s="148" t="s">
        <v>199</v>
      </c>
      <c r="C45" s="149" t="s">
        <v>196</v>
      </c>
      <c r="D45" s="148" t="s">
        <v>197</v>
      </c>
      <c r="E45" s="122" t="s">
        <v>198</v>
      </c>
      <c r="F45" s="412" t="s">
        <v>188</v>
      </c>
      <c r="G45" s="124"/>
      <c r="H45" s="302">
        <v>0</v>
      </c>
      <c r="I45" s="62" t="s">
        <v>177</v>
      </c>
      <c r="J45" s="87">
        <f>+H45*45</f>
        <v>0</v>
      </c>
      <c r="K45" s="93">
        <f>+H45*85</f>
        <v>0</v>
      </c>
      <c r="L45" s="124"/>
      <c r="M45" s="432"/>
      <c r="N45" s="124"/>
      <c r="O45" s="124"/>
      <c r="P45" s="124"/>
      <c r="Q45" s="124"/>
    </row>
    <row r="46" spans="1:17" s="81" customFormat="1" x14ac:dyDescent="0.25">
      <c r="A46" s="78" t="s">
        <v>207</v>
      </c>
      <c r="B46" s="199" t="s">
        <v>203</v>
      </c>
      <c r="C46" s="192">
        <v>1000</v>
      </c>
      <c r="D46" s="199">
        <v>15</v>
      </c>
      <c r="E46" s="145">
        <f>IF(B46="Daily",7, IF(B46="Weekly",1, IF(B46="Every Other Day",4,"")))</f>
        <v>7</v>
      </c>
      <c r="F46" s="406">
        <f>+D46*E46</f>
        <v>105</v>
      </c>
      <c r="G46" s="83"/>
      <c r="H46" s="80">
        <f>IF(E50&gt;=25, E50+2, E50+1)</f>
        <v>30</v>
      </c>
      <c r="I46" s="62" t="s">
        <v>217</v>
      </c>
      <c r="J46" s="87"/>
      <c r="K46" s="93"/>
      <c r="L46" s="83"/>
      <c r="M46" s="492"/>
      <c r="N46" s="83"/>
      <c r="O46" s="83"/>
      <c r="P46" s="83"/>
      <c r="Q46" s="83"/>
    </row>
    <row r="47" spans="1:17" s="81" customFormat="1" x14ac:dyDescent="0.25">
      <c r="A47" s="78" t="s">
        <v>208</v>
      </c>
      <c r="B47" s="199" t="s">
        <v>203</v>
      </c>
      <c r="C47" s="192">
        <v>1000</v>
      </c>
      <c r="D47" s="199">
        <v>15</v>
      </c>
      <c r="E47" s="147">
        <f>IF(B47="Daily",7, IF(B47="Weekly",1, IF(B47="Every Other Day",4,"")))</f>
        <v>7</v>
      </c>
      <c r="F47" s="406">
        <f t="shared" ref="F47:F49" si="2">+D47*E47</f>
        <v>105</v>
      </c>
      <c r="G47" s="83"/>
      <c r="H47" s="80">
        <f>ROUNDUP(F51,0)</f>
        <v>2</v>
      </c>
      <c r="I47" s="62" t="s">
        <v>190</v>
      </c>
      <c r="J47" s="87"/>
      <c r="K47" s="93"/>
      <c r="L47" s="83"/>
      <c r="M47" s="492"/>
      <c r="N47" s="83"/>
      <c r="O47" s="83"/>
      <c r="P47" s="83"/>
      <c r="Q47" s="83"/>
    </row>
    <row r="48" spans="1:17" s="81" customFormat="1" x14ac:dyDescent="0.25">
      <c r="A48" s="78" t="s">
        <v>209</v>
      </c>
      <c r="B48" s="199" t="s">
        <v>203</v>
      </c>
      <c r="C48" s="192">
        <v>1000</v>
      </c>
      <c r="D48" s="199">
        <v>15</v>
      </c>
      <c r="E48" s="147">
        <f>IF(B48="Daily",7, IF(B48="Weekly",1, IF(B48="Every Other Day",4,"")))</f>
        <v>7</v>
      </c>
      <c r="F48" s="406">
        <f t="shared" si="2"/>
        <v>105</v>
      </c>
      <c r="G48" s="83"/>
      <c r="H48" s="80">
        <f>H46</f>
        <v>30</v>
      </c>
      <c r="I48" s="62" t="s">
        <v>200</v>
      </c>
      <c r="J48" s="87"/>
      <c r="K48" s="93"/>
      <c r="L48" s="83"/>
      <c r="M48" s="492"/>
      <c r="N48" s="83"/>
      <c r="O48" s="83"/>
      <c r="P48" s="83"/>
      <c r="Q48" s="83"/>
    </row>
    <row r="49" spans="1:17" s="81" customFormat="1" x14ac:dyDescent="0.25">
      <c r="A49" s="100" t="s">
        <v>210</v>
      </c>
      <c r="B49" s="101" t="s">
        <v>203</v>
      </c>
      <c r="C49" s="102">
        <v>1000</v>
      </c>
      <c r="D49" s="101">
        <v>15</v>
      </c>
      <c r="E49" s="144">
        <f>IF(B49="Daily",7, IF(B49="Weekly",1, IF(B49="Every Other Day",4,"")))</f>
        <v>7</v>
      </c>
      <c r="F49" s="407">
        <f t="shared" si="2"/>
        <v>105</v>
      </c>
      <c r="G49" s="83"/>
      <c r="H49" s="303">
        <v>0</v>
      </c>
      <c r="I49" s="71" t="s">
        <v>192</v>
      </c>
      <c r="J49" s="142">
        <f>H49*3.65</f>
        <v>0</v>
      </c>
      <c r="K49" s="143"/>
      <c r="L49" s="83"/>
      <c r="M49" s="492"/>
      <c r="N49" s="83"/>
      <c r="O49" s="83"/>
      <c r="P49" s="83"/>
      <c r="Q49" s="83"/>
    </row>
    <row r="50" spans="1:17" s="81" customFormat="1" x14ac:dyDescent="0.25">
      <c r="A50" s="88"/>
      <c r="B50" s="79"/>
      <c r="C50" s="80"/>
      <c r="D50" s="82"/>
      <c r="E50" s="167">
        <f>SUM(E46:E49)</f>
        <v>28</v>
      </c>
      <c r="F50" s="409">
        <f>SUM(F46:F49)</f>
        <v>420</v>
      </c>
      <c r="G50" s="83"/>
      <c r="H50" s="80"/>
      <c r="J50" s="128">
        <f>SUM(J44:J49)</f>
        <v>235.62000000000003</v>
      </c>
      <c r="K50" s="129">
        <f>ROUNDUP(SUM(K44:K49),0)</f>
        <v>376</v>
      </c>
      <c r="L50" s="83"/>
      <c r="M50" s="433" t="s">
        <v>202</v>
      </c>
      <c r="N50" s="428">
        <f>+K50-J50</f>
        <v>140.37999999999997</v>
      </c>
      <c r="O50" s="83"/>
      <c r="P50" s="83"/>
      <c r="Q50" s="83"/>
    </row>
    <row r="51" spans="1:17" s="81" customFormat="1" x14ac:dyDescent="0.25">
      <c r="A51" s="88"/>
      <c r="B51" s="79"/>
      <c r="C51" s="80"/>
      <c r="D51" s="82"/>
      <c r="E51" s="441" t="s">
        <v>204</v>
      </c>
      <c r="F51" s="440">
        <f>+F50/300</f>
        <v>1.4</v>
      </c>
      <c r="G51" s="83"/>
      <c r="H51" s="80"/>
      <c r="I51" s="131" t="s">
        <v>189</v>
      </c>
      <c r="J51" s="113">
        <f>+J50/H44</f>
        <v>0.56100000000000005</v>
      </c>
      <c r="K51" s="112">
        <f>+K50/H44</f>
        <v>0.89523809523809528</v>
      </c>
      <c r="L51" s="83"/>
      <c r="M51" s="492"/>
      <c r="N51" s="83"/>
      <c r="O51" s="83"/>
      <c r="P51" s="83"/>
      <c r="Q51" s="83"/>
    </row>
    <row r="52" spans="1:17" s="81" customFormat="1" x14ac:dyDescent="0.25">
      <c r="A52" s="88"/>
      <c r="B52" s="79"/>
      <c r="C52" s="80"/>
      <c r="D52" s="82"/>
      <c r="E52" s="109"/>
      <c r="F52" s="414"/>
      <c r="G52" s="83"/>
      <c r="H52" s="80"/>
      <c r="I52" s="131"/>
      <c r="J52" s="131"/>
      <c r="K52" s="131"/>
      <c r="L52" s="83"/>
      <c r="M52" s="492"/>
      <c r="N52" s="83"/>
      <c r="O52" s="83"/>
      <c r="P52" s="83"/>
      <c r="Q52" s="83"/>
    </row>
    <row r="53" spans="1:17" s="107" customFormat="1" x14ac:dyDescent="0.25">
      <c r="A53" s="104"/>
      <c r="B53" s="105"/>
      <c r="C53" s="106"/>
      <c r="D53" s="108"/>
      <c r="E53" s="151"/>
      <c r="F53" s="421"/>
      <c r="H53" s="106"/>
      <c r="M53" s="421"/>
    </row>
    <row r="54" spans="1:17" s="98" customFormat="1" x14ac:dyDescent="0.25">
      <c r="A54" s="15"/>
      <c r="B54" s="87"/>
      <c r="C54" s="80"/>
      <c r="D54" s="115"/>
      <c r="E54" s="116"/>
      <c r="F54" s="119"/>
      <c r="G54" s="117"/>
      <c r="H54" s="80"/>
      <c r="J54" s="152"/>
      <c r="K54" s="153"/>
      <c r="L54" s="117"/>
      <c r="M54" s="289"/>
      <c r="N54" s="117"/>
      <c r="O54" s="117"/>
      <c r="P54" s="117"/>
      <c r="Q54" s="117"/>
    </row>
    <row r="55" spans="1:17" s="98" customFormat="1" ht="18" x14ac:dyDescent="0.4">
      <c r="A55" s="15"/>
      <c r="B55" s="87"/>
      <c r="C55" s="80"/>
      <c r="D55" s="115"/>
      <c r="E55" s="116"/>
      <c r="F55" s="119"/>
      <c r="G55" s="117"/>
      <c r="H55" s="80"/>
      <c r="J55" s="424" t="s">
        <v>112</v>
      </c>
      <c r="K55" s="114" t="s">
        <v>144</v>
      </c>
      <c r="L55" s="117"/>
      <c r="M55" s="289"/>
      <c r="N55" s="117"/>
      <c r="O55" s="117"/>
      <c r="P55" s="117"/>
      <c r="Q55" s="117"/>
    </row>
    <row r="56" spans="1:17" s="98" customFormat="1" x14ac:dyDescent="0.25">
      <c r="A56" s="15"/>
      <c r="B56" s="121"/>
      <c r="C56" s="80"/>
      <c r="D56" s="115"/>
      <c r="E56" s="116"/>
      <c r="F56" s="119"/>
      <c r="G56" s="117"/>
      <c r="H56" s="118">
        <f>ROUNDUP(F62,0)</f>
        <v>420</v>
      </c>
      <c r="I56" s="119" t="s">
        <v>201</v>
      </c>
      <c r="J56" s="87">
        <f>+B7*F62</f>
        <v>235.62000000000003</v>
      </c>
      <c r="K56" s="120">
        <f>+F62*G7</f>
        <v>375.62000000000006</v>
      </c>
      <c r="L56" s="117"/>
      <c r="M56" s="289"/>
      <c r="N56" s="117"/>
      <c r="O56" s="117"/>
      <c r="P56" s="117"/>
      <c r="Q56" s="117"/>
    </row>
    <row r="57" spans="1:17" s="125" customFormat="1" ht="31.5" x14ac:dyDescent="0.25">
      <c r="A57" s="653" t="s">
        <v>269</v>
      </c>
      <c r="B57" s="148" t="s">
        <v>199</v>
      </c>
      <c r="C57" s="149" t="s">
        <v>196</v>
      </c>
      <c r="D57" s="148" t="s">
        <v>197</v>
      </c>
      <c r="E57" s="122" t="s">
        <v>198</v>
      </c>
      <c r="F57" s="412" t="s">
        <v>188</v>
      </c>
      <c r="G57" s="124"/>
      <c r="H57" s="302">
        <v>0</v>
      </c>
      <c r="I57" s="62" t="s">
        <v>177</v>
      </c>
      <c r="J57" s="87">
        <f>+H57*45</f>
        <v>0</v>
      </c>
      <c r="K57" s="93">
        <f>+H57*85</f>
        <v>0</v>
      </c>
      <c r="L57" s="124"/>
      <c r="M57" s="432"/>
      <c r="N57" s="237"/>
      <c r="O57" s="124"/>
      <c r="P57" s="124"/>
      <c r="Q57" s="124"/>
    </row>
    <row r="58" spans="1:17" s="81" customFormat="1" x14ac:dyDescent="0.25">
      <c r="A58" s="78" t="s">
        <v>211</v>
      </c>
      <c r="B58" s="199" t="s">
        <v>203</v>
      </c>
      <c r="C58" s="192">
        <v>1000</v>
      </c>
      <c r="D58" s="199">
        <v>15</v>
      </c>
      <c r="E58" s="145">
        <f>IF(B58="Daily",7, IF(B58="Weekly",1, IF(B58="Every Other Day",4,"")))</f>
        <v>7</v>
      </c>
      <c r="F58" s="406">
        <f>+D58*E58</f>
        <v>105</v>
      </c>
      <c r="G58" s="83"/>
      <c r="H58" s="80">
        <f>IF(E62&gt;=25, E62+2, E62+1)</f>
        <v>30</v>
      </c>
      <c r="I58" s="62" t="s">
        <v>217</v>
      </c>
      <c r="J58" s="87"/>
      <c r="K58" s="93"/>
      <c r="L58" s="83"/>
      <c r="M58" s="492"/>
      <c r="N58" s="83"/>
      <c r="O58" s="83"/>
      <c r="P58" s="83"/>
      <c r="Q58" s="83"/>
    </row>
    <row r="59" spans="1:17" s="81" customFormat="1" x14ac:dyDescent="0.25">
      <c r="A59" s="78" t="s">
        <v>212</v>
      </c>
      <c r="B59" s="199" t="s">
        <v>203</v>
      </c>
      <c r="C59" s="192">
        <v>1000</v>
      </c>
      <c r="D59" s="199">
        <v>15</v>
      </c>
      <c r="E59" s="147">
        <f>IF(B59="Daily",7, IF(B59="Weekly",1, IF(B59="Every Other Day",4,"")))</f>
        <v>7</v>
      </c>
      <c r="F59" s="406">
        <f t="shared" ref="F59:F61" si="3">+D59*E59</f>
        <v>105</v>
      </c>
      <c r="G59" s="83"/>
      <c r="H59" s="80">
        <f>ROUNDUP(F63,0)</f>
        <v>2</v>
      </c>
      <c r="I59" s="62" t="s">
        <v>190</v>
      </c>
      <c r="J59" s="87"/>
      <c r="K59" s="93"/>
      <c r="L59" s="83"/>
      <c r="M59" s="492"/>
      <c r="N59" s="83"/>
      <c r="O59" s="83"/>
      <c r="P59" s="83"/>
      <c r="Q59" s="83"/>
    </row>
    <row r="60" spans="1:17" s="81" customFormat="1" x14ac:dyDescent="0.25">
      <c r="A60" s="78" t="s">
        <v>213</v>
      </c>
      <c r="B60" s="199" t="s">
        <v>203</v>
      </c>
      <c r="C60" s="192">
        <v>1000</v>
      </c>
      <c r="D60" s="199">
        <v>15</v>
      </c>
      <c r="E60" s="147">
        <f>IF(B60="Daily",7, IF(B60="Weekly",1, IF(B60="Every Other Day",4,"")))</f>
        <v>7</v>
      </c>
      <c r="F60" s="406">
        <f t="shared" si="3"/>
        <v>105</v>
      </c>
      <c r="G60" s="83"/>
      <c r="H60" s="80">
        <f>H58</f>
        <v>30</v>
      </c>
      <c r="I60" s="62" t="s">
        <v>200</v>
      </c>
      <c r="J60" s="87"/>
      <c r="K60" s="93"/>
      <c r="L60" s="83"/>
      <c r="M60" s="492"/>
      <c r="N60" s="83"/>
      <c r="O60" s="83"/>
      <c r="P60" s="83"/>
      <c r="Q60" s="83"/>
    </row>
    <row r="61" spans="1:17" s="81" customFormat="1" x14ac:dyDescent="0.25">
      <c r="A61" s="100" t="s">
        <v>214</v>
      </c>
      <c r="B61" s="101" t="s">
        <v>203</v>
      </c>
      <c r="C61" s="102">
        <v>1000</v>
      </c>
      <c r="D61" s="101">
        <v>15</v>
      </c>
      <c r="E61" s="144">
        <f>IF(B61="Daily",7, IF(B61="Weekly",1, IF(B61="Every Other Day",4,"")))</f>
        <v>7</v>
      </c>
      <c r="F61" s="407">
        <f t="shared" si="3"/>
        <v>105</v>
      </c>
      <c r="G61" s="83"/>
      <c r="H61" s="303">
        <v>0</v>
      </c>
      <c r="I61" s="71" t="s">
        <v>192</v>
      </c>
      <c r="J61" s="142">
        <f>H61*3.65</f>
        <v>0</v>
      </c>
      <c r="K61" s="143"/>
      <c r="L61" s="83"/>
      <c r="M61" s="492"/>
      <c r="N61" s="83"/>
      <c r="O61" s="83"/>
      <c r="P61" s="83"/>
      <c r="Q61" s="83"/>
    </row>
    <row r="62" spans="1:17" s="81" customFormat="1" x14ac:dyDescent="0.25">
      <c r="A62" s="88"/>
      <c r="B62" s="79"/>
      <c r="C62" s="80"/>
      <c r="D62" s="82"/>
      <c r="E62" s="126">
        <f>SUM(E58:E61)</f>
        <v>28</v>
      </c>
      <c r="F62" s="409">
        <f>SUM(F58:F61)</f>
        <v>420</v>
      </c>
      <c r="G62" s="83"/>
      <c r="H62" s="80"/>
      <c r="J62" s="128">
        <f>SUM(J56:J61)</f>
        <v>235.62000000000003</v>
      </c>
      <c r="K62" s="129">
        <f>ROUNDUP(SUM(K56:K61),0)</f>
        <v>376</v>
      </c>
      <c r="L62" s="83"/>
      <c r="M62" s="433" t="s">
        <v>202</v>
      </c>
      <c r="N62" s="428">
        <f>+K62-J62</f>
        <v>140.37999999999997</v>
      </c>
      <c r="O62" s="83"/>
      <c r="P62" s="83"/>
      <c r="Q62" s="83"/>
    </row>
    <row r="63" spans="1:17" s="81" customFormat="1" x14ac:dyDescent="0.25">
      <c r="A63" s="88"/>
      <c r="B63" s="79"/>
      <c r="C63" s="80"/>
      <c r="D63" s="82"/>
      <c r="E63" s="441" t="s">
        <v>204</v>
      </c>
      <c r="F63" s="440">
        <f>+F62/300</f>
        <v>1.4</v>
      </c>
      <c r="G63" s="83"/>
      <c r="H63" s="80"/>
      <c r="I63" s="131" t="s">
        <v>189</v>
      </c>
      <c r="J63" s="113">
        <f>+J62/H56</f>
        <v>0.56100000000000005</v>
      </c>
      <c r="K63" s="112">
        <f>+K62/H56</f>
        <v>0.89523809523809528</v>
      </c>
      <c r="L63" s="83"/>
      <c r="M63" s="492"/>
      <c r="N63" s="83"/>
      <c r="O63" s="83"/>
      <c r="P63" s="83"/>
      <c r="Q63" s="83"/>
    </row>
    <row r="64" spans="1:17" s="81" customFormat="1" x14ac:dyDescent="0.25">
      <c r="A64" s="88"/>
      <c r="B64" s="79"/>
      <c r="C64" s="80"/>
      <c r="D64" s="82"/>
      <c r="E64" s="109"/>
      <c r="F64" s="414"/>
      <c r="G64" s="83"/>
      <c r="H64" s="80"/>
      <c r="I64" s="131"/>
      <c r="J64" s="131"/>
      <c r="K64" s="131"/>
      <c r="L64" s="83"/>
      <c r="M64" s="492"/>
      <c r="N64" s="83"/>
      <c r="O64" s="83"/>
      <c r="P64" s="83"/>
      <c r="Q64" s="83"/>
    </row>
    <row r="65" spans="1:17" s="135" customFormat="1" x14ac:dyDescent="0.25">
      <c r="A65" s="132"/>
      <c r="B65" s="133"/>
      <c r="C65" s="134"/>
      <c r="D65" s="136"/>
      <c r="E65" s="137"/>
      <c r="F65" s="423"/>
      <c r="H65" s="134"/>
      <c r="I65" s="138"/>
      <c r="J65" s="139"/>
      <c r="K65" s="140"/>
      <c r="M65" s="423"/>
    </row>
    <row r="66" spans="1:17" s="81" customFormat="1" x14ac:dyDescent="0.25">
      <c r="A66" s="88"/>
      <c r="B66" s="79"/>
      <c r="C66" s="80"/>
      <c r="D66" s="82"/>
      <c r="E66" s="109"/>
      <c r="F66" s="414"/>
      <c r="G66" s="83"/>
      <c r="H66" s="80"/>
      <c r="I66" s="110"/>
      <c r="J66" s="111"/>
      <c r="K66" s="112"/>
      <c r="L66" s="83"/>
      <c r="M66" s="492"/>
      <c r="N66" s="83"/>
      <c r="O66" s="83"/>
      <c r="P66" s="83"/>
      <c r="Q66" s="83"/>
    </row>
    <row r="67" spans="1:17" s="81" customFormat="1" x14ac:dyDescent="0.25">
      <c r="A67" s="654" t="s">
        <v>215</v>
      </c>
      <c r="B67" s="79"/>
      <c r="C67" s="80"/>
      <c r="D67" s="82"/>
      <c r="E67" s="109"/>
      <c r="F67" s="414"/>
      <c r="G67" s="83"/>
      <c r="H67" s="80"/>
      <c r="I67" s="110"/>
      <c r="J67" s="111"/>
      <c r="K67" s="112"/>
      <c r="L67" s="83"/>
      <c r="M67" s="492"/>
      <c r="N67" s="83"/>
      <c r="O67" s="83"/>
      <c r="P67" s="83"/>
      <c r="Q67" s="83"/>
    </row>
    <row r="68" spans="1:17" s="81" customFormat="1" x14ac:dyDescent="0.25">
      <c r="A68" s="13" t="s">
        <v>195</v>
      </c>
      <c r="B68" s="79" t="s">
        <v>216</v>
      </c>
      <c r="C68" s="80"/>
      <c r="D68" s="82"/>
      <c r="E68" s="109"/>
      <c r="F68" s="414"/>
      <c r="G68" s="83"/>
      <c r="H68" s="80"/>
      <c r="I68" s="110"/>
      <c r="J68" s="111"/>
      <c r="K68" s="112"/>
      <c r="L68" s="83"/>
      <c r="M68" s="492"/>
      <c r="N68" s="83"/>
      <c r="O68" s="83"/>
      <c r="P68" s="83"/>
      <c r="Q68" s="83"/>
    </row>
    <row r="69" spans="1:17" s="81" customFormat="1" x14ac:dyDescent="0.25">
      <c r="A69" s="13"/>
      <c r="B69" s="81" t="s">
        <v>372</v>
      </c>
      <c r="C69" s="80"/>
      <c r="D69" s="82"/>
      <c r="E69" s="109"/>
      <c r="F69" s="414"/>
      <c r="G69" s="83"/>
      <c r="H69" s="80"/>
      <c r="I69" s="110"/>
      <c r="J69" s="111"/>
      <c r="K69" s="112"/>
      <c r="L69" s="83"/>
      <c r="M69" s="492"/>
      <c r="N69" s="83"/>
      <c r="O69" s="83"/>
      <c r="P69" s="83"/>
      <c r="Q69" s="83"/>
    </row>
    <row r="70" spans="1:17" s="81" customFormat="1" x14ac:dyDescent="0.25">
      <c r="A70" s="88"/>
      <c r="B70" s="79"/>
      <c r="C70" s="80"/>
      <c r="D70" s="82"/>
      <c r="E70" s="109"/>
      <c r="F70" s="414"/>
      <c r="G70" s="83"/>
      <c r="H70" s="80"/>
      <c r="I70" s="110"/>
      <c r="J70" s="111"/>
      <c r="K70" s="112"/>
      <c r="L70" s="83"/>
      <c r="M70" s="492"/>
      <c r="N70" s="83"/>
      <c r="O70" s="83"/>
      <c r="P70" s="83"/>
      <c r="Q70" s="83"/>
    </row>
    <row r="71" spans="1:17" s="379" customFormat="1" x14ac:dyDescent="0.25">
      <c r="D71" s="380"/>
      <c r="F71" s="141"/>
      <c r="G71" s="382"/>
      <c r="H71" s="383"/>
      <c r="K71" s="141"/>
      <c r="M71" s="141"/>
    </row>
    <row r="72" spans="1:17" s="379" customFormat="1" x14ac:dyDescent="0.25">
      <c r="D72" s="380"/>
      <c r="F72" s="141"/>
      <c r="G72" s="382"/>
      <c r="H72" s="383"/>
      <c r="K72" s="141"/>
      <c r="M72" s="141"/>
    </row>
    <row r="73" spans="1:17" s="379" customFormat="1" x14ac:dyDescent="0.25">
      <c r="D73" s="380"/>
      <c r="F73" s="141"/>
      <c r="G73" s="382"/>
      <c r="H73" s="383"/>
      <c r="K73" s="141"/>
      <c r="M73" s="141"/>
    </row>
    <row r="76" spans="1:17" x14ac:dyDescent="0.25">
      <c r="A76" t="s">
        <v>351</v>
      </c>
      <c r="E76" s="62"/>
      <c r="I76" s="62"/>
      <c r="J76" s="62"/>
      <c r="M76"/>
    </row>
    <row r="77" spans="1:17" x14ac:dyDescent="0.25">
      <c r="D77" s="61" t="s">
        <v>375</v>
      </c>
      <c r="E77" s="62"/>
      <c r="I77" s="62"/>
      <c r="J77" s="62"/>
      <c r="M77"/>
    </row>
    <row r="78" spans="1:17" s="61" customFormat="1" x14ac:dyDescent="0.25">
      <c r="A78" s="61" t="s">
        <v>368</v>
      </c>
      <c r="D78" s="61" t="s">
        <v>369</v>
      </c>
      <c r="E78" s="453"/>
      <c r="F78" s="453"/>
      <c r="G78" s="458"/>
      <c r="H78" s="459"/>
      <c r="I78" s="453"/>
      <c r="J78" s="453"/>
      <c r="K78" s="453"/>
    </row>
    <row r="79" spans="1:17" x14ac:dyDescent="0.25">
      <c r="A79" t="s">
        <v>373</v>
      </c>
      <c r="B79" s="61"/>
      <c r="E79" s="62" t="s">
        <v>366</v>
      </c>
      <c r="F79" s="461">
        <f>F62</f>
        <v>420</v>
      </c>
      <c r="I79" s="62"/>
      <c r="J79" s="62"/>
      <c r="M79"/>
    </row>
    <row r="80" spans="1:17" x14ac:dyDescent="0.25">
      <c r="A80" s="368" t="s">
        <v>364</v>
      </c>
      <c r="B80" s="460">
        <f>N62</f>
        <v>140.37999999999997</v>
      </c>
      <c r="E80" s="71" t="s">
        <v>360</v>
      </c>
      <c r="F80" s="71">
        <v>10</v>
      </c>
      <c r="I80" s="62"/>
      <c r="J80" s="62"/>
      <c r="M80"/>
    </row>
    <row r="81" spans="1:13" x14ac:dyDescent="0.25">
      <c r="E81" s="62"/>
      <c r="F81" s="62">
        <f>+F80*F79</f>
        <v>4200</v>
      </c>
      <c r="G81" s="13" t="s">
        <v>367</v>
      </c>
      <c r="I81" s="62"/>
      <c r="J81" s="62"/>
      <c r="M81"/>
    </row>
    <row r="82" spans="1:13" x14ac:dyDescent="0.25">
      <c r="E82" s="453" t="s">
        <v>361</v>
      </c>
      <c r="F82" s="453">
        <f>+F81/300</f>
        <v>14</v>
      </c>
      <c r="I82" s="62"/>
      <c r="J82" s="62"/>
      <c r="M82"/>
    </row>
    <row r="83" spans="1:13" x14ac:dyDescent="0.25">
      <c r="E83" s="62" t="s">
        <v>362</v>
      </c>
      <c r="F83" s="454">
        <f>+F82*100</f>
        <v>1400</v>
      </c>
      <c r="I83" s="62"/>
      <c r="J83" s="62"/>
      <c r="M83"/>
    </row>
    <row r="84" spans="1:13" x14ac:dyDescent="0.25">
      <c r="E84" s="62"/>
      <c r="I84" s="62"/>
      <c r="J84" s="62"/>
      <c r="M84"/>
    </row>
    <row r="85" spans="1:13" x14ac:dyDescent="0.25">
      <c r="D85" s="455"/>
      <c r="E85" s="456" t="s">
        <v>363</v>
      </c>
      <c r="F85" s="457">
        <f>+F83/10</f>
        <v>140</v>
      </c>
      <c r="I85" s="62"/>
      <c r="J85" s="62"/>
      <c r="M85"/>
    </row>
    <row r="88" spans="1:13" s="379" customFormat="1" x14ac:dyDescent="0.25">
      <c r="D88" s="380"/>
      <c r="E88" s="141"/>
      <c r="F88" s="141"/>
      <c r="G88" s="382"/>
      <c r="H88" s="383"/>
      <c r="I88" s="141"/>
      <c r="J88" s="141"/>
      <c r="K88" s="141"/>
    </row>
    <row r="89" spans="1:13" s="379" customFormat="1" x14ac:dyDescent="0.25">
      <c r="D89" s="380"/>
      <c r="E89" s="141"/>
      <c r="F89" s="141"/>
      <c r="G89" s="382"/>
      <c r="H89" s="383"/>
      <c r="I89" s="141"/>
      <c r="J89" s="141"/>
      <c r="K89" s="141"/>
    </row>
    <row r="90" spans="1:13" s="379" customFormat="1" x14ac:dyDescent="0.25">
      <c r="D90" s="380"/>
      <c r="E90" s="141"/>
      <c r="F90" s="141"/>
      <c r="G90" s="382"/>
      <c r="H90" s="383"/>
      <c r="I90" s="141"/>
      <c r="J90" s="141"/>
      <c r="K90" s="141"/>
    </row>
    <row r="91" spans="1:13" x14ac:dyDescent="0.25">
      <c r="E91" s="62"/>
      <c r="I91" s="62"/>
      <c r="J91" s="62"/>
      <c r="M91"/>
    </row>
    <row r="92" spans="1:13" x14ac:dyDescent="0.25">
      <c r="E92" s="62"/>
      <c r="I92" s="62"/>
      <c r="J92" s="62"/>
      <c r="M92"/>
    </row>
    <row r="93" spans="1:13" x14ac:dyDescent="0.25">
      <c r="A93" t="s">
        <v>387</v>
      </c>
      <c r="E93" s="62"/>
      <c r="G93" t="s">
        <v>387</v>
      </c>
      <c r="H93"/>
      <c r="J93" s="67"/>
      <c r="M93"/>
    </row>
    <row r="94" spans="1:13" x14ac:dyDescent="0.25">
      <c r="A94" t="s">
        <v>388</v>
      </c>
      <c r="E94" s="62"/>
      <c r="G94" s="64" t="s">
        <v>390</v>
      </c>
      <c r="H94"/>
      <c r="J94" s="67"/>
      <c r="M94"/>
    </row>
    <row r="95" spans="1:13" x14ac:dyDescent="0.25">
      <c r="E95" s="62"/>
      <c r="G95"/>
      <c r="H95"/>
      <c r="J95" s="67"/>
      <c r="M95"/>
    </row>
    <row r="96" spans="1:13" s="587" customFormat="1" x14ac:dyDescent="0.25">
      <c r="B96" s="587" t="s">
        <v>389</v>
      </c>
      <c r="C96" s="64" t="s">
        <v>113</v>
      </c>
      <c r="D96" s="593" t="s">
        <v>202</v>
      </c>
      <c r="E96" s="588"/>
      <c r="F96" s="588"/>
      <c r="H96" s="587" t="s">
        <v>389</v>
      </c>
      <c r="I96" s="64" t="s">
        <v>113</v>
      </c>
      <c r="J96" s="593" t="s">
        <v>202</v>
      </c>
      <c r="K96" s="588"/>
    </row>
    <row r="97" spans="1:13" s="587" customFormat="1" x14ac:dyDescent="0.25">
      <c r="A97" s="599">
        <v>0</v>
      </c>
      <c r="B97" s="602">
        <f>K62</f>
        <v>376</v>
      </c>
      <c r="C97" s="600">
        <f>J62</f>
        <v>235.62000000000003</v>
      </c>
      <c r="D97" s="601">
        <f>+B97-C97</f>
        <v>140.37999999999997</v>
      </c>
      <c r="E97" s="588"/>
      <c r="F97" s="588"/>
      <c r="G97" s="599">
        <v>0</v>
      </c>
      <c r="H97" s="602">
        <f>K37</f>
        <v>298</v>
      </c>
      <c r="I97" s="600">
        <f>J37</f>
        <v>182.16800000000001</v>
      </c>
      <c r="J97" s="601">
        <f>+H97-I97</f>
        <v>115.83199999999999</v>
      </c>
      <c r="K97" s="588"/>
    </row>
    <row r="98" spans="1:13" s="64" customFormat="1" x14ac:dyDescent="0.25">
      <c r="A98" s="596">
        <v>0.1</v>
      </c>
      <c r="B98" s="587">
        <f>0.9*B97</f>
        <v>338.40000000000003</v>
      </c>
      <c r="C98" s="600">
        <f>C97</f>
        <v>235.62000000000003</v>
      </c>
      <c r="D98" s="601">
        <f t="shared" ref="D98:D101" si="4">+B98-C98</f>
        <v>102.78</v>
      </c>
      <c r="E98" s="225"/>
      <c r="F98" s="225"/>
      <c r="G98" s="596">
        <v>0.1</v>
      </c>
      <c r="H98" s="587">
        <f>0.9*H97</f>
        <v>268.2</v>
      </c>
      <c r="I98" s="600">
        <f>I97</f>
        <v>182.16800000000001</v>
      </c>
      <c r="J98" s="601">
        <f t="shared" ref="J98:J101" si="5">+H98-I98</f>
        <v>86.031999999999982</v>
      </c>
      <c r="K98" s="225"/>
    </row>
    <row r="99" spans="1:13" s="507" customFormat="1" x14ac:dyDescent="0.25">
      <c r="A99" s="597">
        <v>0.15</v>
      </c>
      <c r="B99" s="587">
        <f>+B97*0.85</f>
        <v>319.59999999999997</v>
      </c>
      <c r="C99" s="600">
        <f t="shared" ref="C99:C101" si="6">C98</f>
        <v>235.62000000000003</v>
      </c>
      <c r="D99" s="601">
        <f t="shared" si="4"/>
        <v>83.979999999999933</v>
      </c>
      <c r="E99" s="498"/>
      <c r="F99" s="498"/>
      <c r="G99" s="597">
        <v>0.15</v>
      </c>
      <c r="H99" s="587">
        <f>+H97*0.85</f>
        <v>253.29999999999998</v>
      </c>
      <c r="I99" s="600">
        <f t="shared" ref="I99:I101" si="7">I98</f>
        <v>182.16800000000001</v>
      </c>
      <c r="J99" s="601">
        <f t="shared" si="5"/>
        <v>71.131999999999977</v>
      </c>
      <c r="K99" s="498"/>
    </row>
    <row r="100" spans="1:13" x14ac:dyDescent="0.25">
      <c r="A100" s="598">
        <v>0.2</v>
      </c>
      <c r="B100" s="602">
        <f>0.8*B97</f>
        <v>300.8</v>
      </c>
      <c r="C100" s="600">
        <f t="shared" si="6"/>
        <v>235.62000000000003</v>
      </c>
      <c r="D100" s="601">
        <f t="shared" si="4"/>
        <v>65.179999999999978</v>
      </c>
      <c r="E100" s="62"/>
      <c r="G100" s="598">
        <v>0.2</v>
      </c>
      <c r="H100" s="587">
        <f>0.8*H97</f>
        <v>238.4</v>
      </c>
      <c r="I100" s="600">
        <f t="shared" si="7"/>
        <v>182.16800000000001</v>
      </c>
      <c r="J100" s="601">
        <f t="shared" si="5"/>
        <v>56.231999999999999</v>
      </c>
      <c r="M100"/>
    </row>
    <row r="101" spans="1:13" x14ac:dyDescent="0.25">
      <c r="A101" s="598">
        <v>0.25</v>
      </c>
      <c r="B101" s="602">
        <f>0.75*B97</f>
        <v>282</v>
      </c>
      <c r="C101" s="600">
        <f t="shared" si="6"/>
        <v>235.62000000000003</v>
      </c>
      <c r="D101" s="601">
        <f t="shared" si="4"/>
        <v>46.379999999999967</v>
      </c>
      <c r="E101" s="62"/>
      <c r="G101" s="598">
        <v>0.25</v>
      </c>
      <c r="H101" s="587">
        <f>0.755*H97</f>
        <v>224.99</v>
      </c>
      <c r="I101" s="600">
        <f t="shared" si="7"/>
        <v>182.16800000000001</v>
      </c>
      <c r="J101" s="601">
        <f t="shared" si="5"/>
        <v>42.822000000000003</v>
      </c>
      <c r="M101"/>
    </row>
  </sheetData>
  <mergeCells count="1">
    <mergeCell ref="C4:D4"/>
  </mergeCells>
  <dataValidations count="1">
    <dataValidation type="list" allowBlank="1" showInputMessage="1" showErrorMessage="1" sqref="B33:B36 B16:B19 B58:B61 B46:B49" xr:uid="{2A4110D0-EBD0-45C6-93C0-240ECCE279E8}">
      <formula1>$N$1:$N$3</formula1>
    </dataValidation>
  </dataValidations>
  <pageMargins left="0.7" right="0.7" top="0.75" bottom="0.75" header="0.3" footer="0.3"/>
  <pageSetup scale="62" fitToHeight="1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206B-F46A-4DFB-B577-CA353F90F47F}">
  <sheetPr codeName="Sheet8">
    <pageSetUpPr fitToPage="1"/>
  </sheetPr>
  <dimension ref="A1:Q81"/>
  <sheetViews>
    <sheetView topLeftCell="A29" workbookViewId="0">
      <selection activeCell="A47" sqref="A47"/>
    </sheetView>
  </sheetViews>
  <sheetFormatPr defaultColWidth="12.125" defaultRowHeight="15.75" x14ac:dyDescent="0.25"/>
  <cols>
    <col min="1" max="1" width="10" customWidth="1"/>
    <col min="4" max="4" width="13.5" style="67" customWidth="1"/>
    <col min="6" max="6" width="12.125" style="62"/>
    <col min="7" max="7" width="12.125" style="13"/>
    <col min="8" max="8" width="12.125" style="96"/>
    <col min="11" max="11" width="12.125" style="62"/>
    <col min="14" max="14" width="12.125" style="507"/>
  </cols>
  <sheetData>
    <row r="1" spans="1:17" ht="30.75" customHeight="1" x14ac:dyDescent="0.55000000000000004">
      <c r="A1" s="234" t="s">
        <v>273</v>
      </c>
      <c r="B1" s="236"/>
      <c r="C1" s="236"/>
      <c r="D1" s="515"/>
      <c r="E1" s="67"/>
      <c r="G1" s="95"/>
      <c r="H1" s="158"/>
      <c r="I1" s="287"/>
      <c r="J1" s="287"/>
      <c r="K1" s="117"/>
      <c r="N1" s="508" t="s">
        <v>203</v>
      </c>
    </row>
    <row r="2" spans="1:17" s="98" customFormat="1" ht="18" x14ac:dyDescent="0.4">
      <c r="A2" s="87"/>
      <c r="B2" s="200">
        <f>'Pep Costs'!B11</f>
        <v>150</v>
      </c>
      <c r="C2" s="87" t="s">
        <v>142</v>
      </c>
      <c r="D2" s="87"/>
      <c r="E2" s="113"/>
      <c r="F2" s="497" t="s">
        <v>349</v>
      </c>
      <c r="G2" s="470" t="s">
        <v>144</v>
      </c>
      <c r="H2" s="429"/>
      <c r="I2" s="430"/>
      <c r="J2" s="471"/>
      <c r="K2" s="117"/>
      <c r="N2" s="509" t="s">
        <v>187</v>
      </c>
      <c r="O2" s="117"/>
      <c r="P2" s="117"/>
      <c r="Q2" s="117"/>
    </row>
    <row r="3" spans="1:17" s="98" customFormat="1" x14ac:dyDescent="0.25">
      <c r="A3" s="87"/>
      <c r="B3" s="170">
        <v>3.3</v>
      </c>
      <c r="C3" s="170" t="s">
        <v>185</v>
      </c>
      <c r="D3" s="87"/>
      <c r="E3" s="113"/>
      <c r="F3" s="485">
        <v>100</v>
      </c>
      <c r="G3" s="469">
        <f>+F3+B5</f>
        <v>268.3</v>
      </c>
      <c r="H3" s="117"/>
      <c r="I3" s="117"/>
      <c r="J3" s="152"/>
      <c r="K3" s="117"/>
      <c r="N3" s="509" t="s">
        <v>206</v>
      </c>
      <c r="O3" s="117"/>
      <c r="P3" s="117"/>
      <c r="Q3" s="117"/>
    </row>
    <row r="4" spans="1:17" s="98" customFormat="1" ht="33" customHeight="1" x14ac:dyDescent="0.25">
      <c r="A4" s="87"/>
      <c r="B4" s="142">
        <v>15</v>
      </c>
      <c r="C4" s="656" t="s">
        <v>230</v>
      </c>
      <c r="D4" s="665"/>
      <c r="E4" s="387"/>
      <c r="F4" s="494"/>
      <c r="G4" s="468"/>
      <c r="H4" s="158"/>
      <c r="I4" s="117"/>
      <c r="J4" s="152"/>
      <c r="K4" s="117"/>
      <c r="M4" s="157"/>
      <c r="N4" s="500"/>
      <c r="O4" s="117"/>
      <c r="P4" s="117"/>
      <c r="Q4" s="117"/>
    </row>
    <row r="5" spans="1:17" s="98" customFormat="1" x14ac:dyDescent="0.25">
      <c r="A5" s="314"/>
      <c r="B5" s="87">
        <f>SUM(B2:B4)</f>
        <v>168.3</v>
      </c>
      <c r="C5" s="87"/>
      <c r="D5" s="87"/>
      <c r="E5" s="387"/>
      <c r="F5" s="494"/>
      <c r="G5" s="468"/>
      <c r="H5" s="158"/>
      <c r="I5" s="117"/>
      <c r="J5" s="152"/>
      <c r="K5" s="117"/>
      <c r="N5" s="500"/>
      <c r="O5" s="117"/>
      <c r="P5" s="117"/>
      <c r="Q5" s="117"/>
    </row>
    <row r="6" spans="1:17" s="98" customFormat="1" x14ac:dyDescent="0.25">
      <c r="A6" s="87"/>
      <c r="B6" s="87"/>
      <c r="C6" s="87"/>
      <c r="D6" s="87"/>
      <c r="F6" s="467" t="s">
        <v>189</v>
      </c>
      <c r="G6" s="468">
        <f>+G3/300</f>
        <v>0.89433333333333342</v>
      </c>
      <c r="H6" s="80"/>
      <c r="J6" s="152"/>
      <c r="K6" s="153"/>
      <c r="L6" s="117"/>
      <c r="M6" s="117"/>
      <c r="N6" s="500"/>
      <c r="O6" s="117"/>
      <c r="P6" s="117"/>
      <c r="Q6" s="117"/>
    </row>
    <row r="7" spans="1:17" s="98" customFormat="1" x14ac:dyDescent="0.25">
      <c r="A7" s="225" t="s">
        <v>189</v>
      </c>
      <c r="B7" s="87">
        <f>+B5/300</f>
        <v>0.56100000000000005</v>
      </c>
      <c r="C7" s="87"/>
      <c r="D7" s="87"/>
      <c r="E7" s="389"/>
      <c r="F7" s="495"/>
      <c r="G7" s="496"/>
      <c r="I7" s="152"/>
      <c r="J7" s="153"/>
      <c r="K7" s="117"/>
      <c r="L7" s="117"/>
      <c r="M7" s="117"/>
      <c r="N7" s="500"/>
      <c r="O7" s="117"/>
      <c r="P7" s="117"/>
    </row>
    <row r="8" spans="1:17" s="117" customFormat="1" x14ac:dyDescent="0.25">
      <c r="A8" s="62"/>
      <c r="B8" s="128"/>
      <c r="E8" s="389"/>
      <c r="F8" s="400"/>
      <c r="G8" s="397"/>
      <c r="H8" s="158"/>
      <c r="J8" s="152"/>
      <c r="K8" s="153"/>
      <c r="N8" s="500"/>
    </row>
    <row r="9" spans="1:17" s="161" customFormat="1" x14ac:dyDescent="0.25">
      <c r="A9" s="159"/>
      <c r="B9" s="160"/>
      <c r="D9" s="162"/>
      <c r="E9" s="163"/>
      <c r="F9" s="401"/>
      <c r="H9" s="164"/>
      <c r="J9" s="165"/>
      <c r="K9" s="166"/>
      <c r="N9" s="501"/>
    </row>
    <row r="10" spans="1:17" s="98" customFormat="1" x14ac:dyDescent="0.25">
      <c r="A10" s="15"/>
      <c r="B10" s="87"/>
      <c r="C10" s="80"/>
      <c r="D10" s="115"/>
      <c r="E10" s="116"/>
      <c r="F10" s="119"/>
      <c r="G10" s="117"/>
      <c r="H10" s="80"/>
      <c r="J10" s="152"/>
      <c r="K10" s="153"/>
      <c r="L10" s="117"/>
      <c r="M10" s="117"/>
      <c r="N10" s="500"/>
      <c r="O10" s="117"/>
      <c r="P10" s="117"/>
      <c r="Q10" s="117"/>
    </row>
    <row r="11" spans="1:17" s="98" customFormat="1" x14ac:dyDescent="0.25">
      <c r="A11" s="15"/>
      <c r="B11" s="87"/>
      <c r="C11" s="80"/>
      <c r="D11" s="115"/>
      <c r="E11" s="116"/>
      <c r="F11" s="119"/>
      <c r="G11" s="117"/>
      <c r="H11" s="80"/>
      <c r="K11" s="114" t="s">
        <v>144</v>
      </c>
      <c r="L11" s="117"/>
      <c r="M11" s="117"/>
      <c r="N11" s="500"/>
      <c r="O11" s="117"/>
      <c r="P11" s="117"/>
      <c r="Q11" s="117"/>
    </row>
    <row r="12" spans="1:17" s="98" customFormat="1" x14ac:dyDescent="0.25">
      <c r="A12" s="15"/>
      <c r="B12" s="121"/>
      <c r="C12" s="80"/>
      <c r="D12" s="115"/>
      <c r="E12" s="116"/>
      <c r="F12" s="119"/>
      <c r="G12" s="117"/>
      <c r="H12" s="118">
        <f>ROUNDUP(F18,0)</f>
        <v>136</v>
      </c>
      <c r="I12" s="119" t="s">
        <v>201</v>
      </c>
      <c r="J12" s="87">
        <f>F18*B7</f>
        <v>76.296000000000006</v>
      </c>
      <c r="K12" s="120">
        <f>+F18*G6</f>
        <v>121.62933333333335</v>
      </c>
      <c r="L12" s="117"/>
      <c r="M12" s="117"/>
      <c r="N12" s="500"/>
      <c r="O12" s="117"/>
      <c r="P12" s="117"/>
      <c r="Q12" s="117"/>
    </row>
    <row r="13" spans="1:17" s="125" customFormat="1" ht="31.5" x14ac:dyDescent="0.25">
      <c r="A13" s="653" t="s">
        <v>266</v>
      </c>
      <c r="B13" s="148" t="s">
        <v>199</v>
      </c>
      <c r="C13" s="149" t="s">
        <v>196</v>
      </c>
      <c r="D13" s="148" t="s">
        <v>197</v>
      </c>
      <c r="E13" s="122" t="s">
        <v>198</v>
      </c>
      <c r="F13" s="412" t="s">
        <v>188</v>
      </c>
      <c r="G13" s="124"/>
      <c r="H13" s="302">
        <v>0</v>
      </c>
      <c r="I13" s="62" t="s">
        <v>177</v>
      </c>
      <c r="J13" s="87">
        <f>+H13*45</f>
        <v>0</v>
      </c>
      <c r="K13" s="93">
        <f>H13*85</f>
        <v>0</v>
      </c>
      <c r="L13" s="124"/>
      <c r="M13" s="124"/>
      <c r="N13" s="502"/>
      <c r="O13" s="124"/>
      <c r="P13" s="124"/>
      <c r="Q13" s="124"/>
    </row>
    <row r="14" spans="1:17" s="81" customFormat="1" x14ac:dyDescent="0.25">
      <c r="A14" s="78" t="s">
        <v>108</v>
      </c>
      <c r="B14" s="199" t="s">
        <v>187</v>
      </c>
      <c r="C14" s="192">
        <v>500</v>
      </c>
      <c r="D14" s="199">
        <v>7</v>
      </c>
      <c r="E14" s="145">
        <f>IF(B14="Daily",7, IF(B14="Weekly",1, IF(B14="Every Other Day",4,"")))</f>
        <v>4</v>
      </c>
      <c r="F14" s="406">
        <f>+D14*E14</f>
        <v>28</v>
      </c>
      <c r="G14" s="83"/>
      <c r="H14" s="80">
        <f>IF(E18&gt;=25, E18+2, E18+1)</f>
        <v>17</v>
      </c>
      <c r="I14" s="62" t="s">
        <v>217</v>
      </c>
      <c r="J14" s="87"/>
      <c r="K14" s="93"/>
      <c r="L14" s="83"/>
      <c r="M14" s="83"/>
      <c r="N14" s="503"/>
      <c r="O14" s="83"/>
      <c r="P14" s="83"/>
      <c r="Q14" s="83"/>
    </row>
    <row r="15" spans="1:17" s="81" customFormat="1" x14ac:dyDescent="0.25">
      <c r="A15" s="78" t="s">
        <v>109</v>
      </c>
      <c r="B15" s="199" t="s">
        <v>187</v>
      </c>
      <c r="C15" s="192">
        <v>500</v>
      </c>
      <c r="D15" s="199">
        <v>7</v>
      </c>
      <c r="E15" s="147">
        <f>IF(B15="Daily",7, IF(B15="Weekly",1, IF(B15="Every Other Day",4,"")))</f>
        <v>4</v>
      </c>
      <c r="F15" s="406">
        <f t="shared" ref="F15:F17" si="0">+D15*E15</f>
        <v>28</v>
      </c>
      <c r="G15" s="83"/>
      <c r="H15" s="80">
        <f>ROUNDUP(F19,0)</f>
        <v>1</v>
      </c>
      <c r="I15" s="62" t="s">
        <v>190</v>
      </c>
      <c r="J15" s="87"/>
      <c r="K15" s="93"/>
      <c r="L15" s="83"/>
      <c r="M15" s="83"/>
      <c r="N15" s="503"/>
      <c r="O15" s="83"/>
      <c r="P15" s="83"/>
      <c r="Q15" s="83"/>
    </row>
    <row r="16" spans="1:17" s="81" customFormat="1" x14ac:dyDescent="0.25">
      <c r="A16" s="78" t="s">
        <v>110</v>
      </c>
      <c r="B16" s="199" t="s">
        <v>187</v>
      </c>
      <c r="C16" s="192">
        <v>666</v>
      </c>
      <c r="D16" s="199">
        <v>10</v>
      </c>
      <c r="E16" s="147">
        <f>IF(B16="Daily",7, IF(B16="Weekly",1, IF(B16="Every Other Day",4,"")))</f>
        <v>4</v>
      </c>
      <c r="F16" s="406">
        <f t="shared" si="0"/>
        <v>40</v>
      </c>
      <c r="G16" s="83"/>
      <c r="H16" s="80">
        <f>H14</f>
        <v>17</v>
      </c>
      <c r="I16" s="62" t="s">
        <v>200</v>
      </c>
      <c r="J16" s="87"/>
      <c r="K16" s="93"/>
      <c r="L16" s="83"/>
      <c r="M16" s="83"/>
      <c r="N16" s="503"/>
      <c r="O16" s="83"/>
      <c r="P16" s="83"/>
      <c r="Q16" s="83"/>
    </row>
    <row r="17" spans="1:17" s="81" customFormat="1" x14ac:dyDescent="0.25">
      <c r="A17" s="100" t="s">
        <v>141</v>
      </c>
      <c r="B17" s="101" t="s">
        <v>187</v>
      </c>
      <c r="C17" s="102">
        <v>666</v>
      </c>
      <c r="D17" s="101">
        <v>10</v>
      </c>
      <c r="E17" s="144">
        <f>IF(B17="Daily",7, IF(B17="Weekly",1, IF(B17="Every Other Day",4,"")))</f>
        <v>4</v>
      </c>
      <c r="F17" s="407">
        <f t="shared" si="0"/>
        <v>40</v>
      </c>
      <c r="G17" s="83"/>
      <c r="H17" s="303">
        <v>1</v>
      </c>
      <c r="I17" s="71" t="s">
        <v>192</v>
      </c>
      <c r="J17" s="142">
        <f>H17*3.65</f>
        <v>3.65</v>
      </c>
      <c r="K17" s="143"/>
      <c r="L17" s="83"/>
      <c r="M17" s="83"/>
      <c r="N17" s="503"/>
      <c r="O17" s="83"/>
      <c r="P17" s="83"/>
      <c r="Q17" s="83"/>
    </row>
    <row r="18" spans="1:17" s="81" customFormat="1" x14ac:dyDescent="0.25">
      <c r="A18" s="88"/>
      <c r="B18" s="79"/>
      <c r="C18" s="80"/>
      <c r="D18" s="82"/>
      <c r="E18" s="167">
        <f>SUM(E14:E17)</f>
        <v>16</v>
      </c>
      <c r="F18" s="409">
        <f>SUM(F14:F17)</f>
        <v>136</v>
      </c>
      <c r="G18" s="83"/>
      <c r="H18" s="80"/>
      <c r="J18" s="128">
        <f>SUM(J12:J17)</f>
        <v>79.946000000000012</v>
      </c>
      <c r="K18" s="129">
        <f>ROUNDUP(SUM(K12:K17),0)</f>
        <v>122</v>
      </c>
      <c r="L18" s="83"/>
      <c r="M18" s="433" t="s">
        <v>202</v>
      </c>
      <c r="N18" s="428">
        <f>+K18-J18</f>
        <v>42.053999999999988</v>
      </c>
      <c r="P18" s="83"/>
      <c r="Q18" s="83"/>
    </row>
    <row r="19" spans="1:17" s="81" customFormat="1" x14ac:dyDescent="0.25">
      <c r="A19" s="88"/>
      <c r="B19" s="79"/>
      <c r="C19" s="80"/>
      <c r="D19" s="82"/>
      <c r="E19" s="441" t="s">
        <v>204</v>
      </c>
      <c r="F19" s="440">
        <f>+F18/300</f>
        <v>0.45333333333333331</v>
      </c>
      <c r="G19" s="83"/>
      <c r="H19" s="80"/>
      <c r="I19" s="131" t="s">
        <v>189</v>
      </c>
      <c r="J19" s="113">
        <f>+J18/H12</f>
        <v>0.58783823529411772</v>
      </c>
      <c r="K19" s="112">
        <f>+K18/H12</f>
        <v>0.8970588235294118</v>
      </c>
      <c r="L19" s="83"/>
      <c r="M19" s="83"/>
      <c r="N19" s="503"/>
      <c r="O19" s="83"/>
      <c r="P19" s="83"/>
      <c r="Q19" s="83"/>
    </row>
    <row r="20" spans="1:17" s="81" customFormat="1" x14ac:dyDescent="0.25">
      <c r="A20" s="88"/>
      <c r="B20" s="79"/>
      <c r="C20" s="80"/>
      <c r="D20" s="82"/>
      <c r="E20" s="109"/>
      <c r="F20" s="414"/>
      <c r="G20" s="83"/>
      <c r="H20" s="80"/>
      <c r="L20" s="83"/>
      <c r="M20" s="83"/>
      <c r="N20" s="503"/>
      <c r="O20" s="83"/>
      <c r="P20" s="83"/>
      <c r="Q20" s="83"/>
    </row>
    <row r="21" spans="1:17" s="107" customFormat="1" x14ac:dyDescent="0.25">
      <c r="A21" s="104"/>
      <c r="B21" s="105"/>
      <c r="C21" s="106"/>
      <c r="D21" s="108"/>
      <c r="E21" s="151"/>
      <c r="F21" s="421"/>
      <c r="H21" s="106"/>
      <c r="N21" s="504"/>
    </row>
    <row r="22" spans="1:17" s="98" customFormat="1" x14ac:dyDescent="0.25">
      <c r="A22" s="15"/>
      <c r="B22" s="87"/>
      <c r="C22" s="80"/>
      <c r="D22" s="115"/>
      <c r="E22" s="116"/>
      <c r="F22" s="119"/>
      <c r="G22" s="117"/>
      <c r="H22" s="80"/>
      <c r="J22" s="152"/>
      <c r="K22" s="153"/>
      <c r="L22" s="117"/>
      <c r="M22" s="117"/>
      <c r="N22" s="500"/>
      <c r="O22" s="117"/>
      <c r="P22" s="117"/>
      <c r="Q22" s="117"/>
    </row>
    <row r="23" spans="1:17" s="98" customFormat="1" x14ac:dyDescent="0.25">
      <c r="A23" s="15"/>
      <c r="B23" s="87"/>
      <c r="C23" s="80"/>
      <c r="D23" s="115"/>
      <c r="E23" s="116"/>
      <c r="F23" s="119"/>
      <c r="G23" s="117"/>
      <c r="H23" s="80"/>
      <c r="K23" s="114" t="s">
        <v>144</v>
      </c>
      <c r="L23" s="117"/>
      <c r="M23" s="117"/>
      <c r="N23" s="500"/>
      <c r="O23" s="117"/>
      <c r="P23" s="117"/>
      <c r="Q23" s="117"/>
    </row>
    <row r="24" spans="1:17" s="98" customFormat="1" x14ac:dyDescent="0.25">
      <c r="A24" s="15"/>
      <c r="B24" s="121"/>
      <c r="C24" s="80"/>
      <c r="D24" s="115"/>
      <c r="E24" s="116"/>
      <c r="F24" s="119"/>
      <c r="G24" s="117"/>
      <c r="H24" s="118">
        <f>ROUNDUP(F30,0)</f>
        <v>240</v>
      </c>
      <c r="I24" s="119" t="s">
        <v>201</v>
      </c>
      <c r="J24" s="87">
        <f>+B7*F30</f>
        <v>134.64000000000001</v>
      </c>
      <c r="K24" s="120">
        <f>+F30*G6</f>
        <v>214.64000000000001</v>
      </c>
      <c r="L24" s="117"/>
      <c r="M24" s="117"/>
      <c r="N24" s="500"/>
      <c r="O24" s="117"/>
      <c r="P24" s="117"/>
      <c r="Q24" s="117"/>
    </row>
    <row r="25" spans="1:17" s="125" customFormat="1" ht="31.5" x14ac:dyDescent="0.25">
      <c r="A25" s="653" t="s">
        <v>268</v>
      </c>
      <c r="B25" s="148" t="s">
        <v>199</v>
      </c>
      <c r="C25" s="149" t="s">
        <v>196</v>
      </c>
      <c r="D25" s="148" t="s">
        <v>197</v>
      </c>
      <c r="E25" s="122" t="s">
        <v>198</v>
      </c>
      <c r="F25" s="412" t="s">
        <v>188</v>
      </c>
      <c r="G25" s="124"/>
      <c r="H25" s="302">
        <v>0</v>
      </c>
      <c r="I25" s="62" t="s">
        <v>177</v>
      </c>
      <c r="J25" s="87">
        <f>+H25*45</f>
        <v>0</v>
      </c>
      <c r="K25" s="93">
        <f>+H25*85</f>
        <v>0</v>
      </c>
      <c r="L25" s="124"/>
      <c r="M25" s="124"/>
      <c r="N25" s="502"/>
      <c r="O25" s="124"/>
      <c r="P25" s="124"/>
      <c r="Q25" s="124"/>
    </row>
    <row r="26" spans="1:17" s="81" customFormat="1" x14ac:dyDescent="0.25">
      <c r="A26" s="78" t="s">
        <v>207</v>
      </c>
      <c r="B26" s="199" t="s">
        <v>187</v>
      </c>
      <c r="C26" s="192">
        <v>1000</v>
      </c>
      <c r="D26" s="199">
        <v>15</v>
      </c>
      <c r="E26" s="145">
        <f>IF(B26="Daily",7, IF(B26="Weekly",1, IF(B26="Every Other Day",4,"")))</f>
        <v>4</v>
      </c>
      <c r="F26" s="406">
        <f>+D26*E26</f>
        <v>60</v>
      </c>
      <c r="G26" s="83"/>
      <c r="H26" s="80">
        <f>IF(E30&gt;=25, E30+2, E30+1)</f>
        <v>17</v>
      </c>
      <c r="I26" s="62" t="s">
        <v>217</v>
      </c>
      <c r="J26" s="87"/>
      <c r="K26" s="93"/>
      <c r="L26" s="83"/>
      <c r="M26" s="83"/>
      <c r="N26" s="503"/>
      <c r="O26" s="83"/>
      <c r="P26" s="83"/>
      <c r="Q26" s="83"/>
    </row>
    <row r="27" spans="1:17" s="81" customFormat="1" x14ac:dyDescent="0.25">
      <c r="A27" s="78" t="s">
        <v>208</v>
      </c>
      <c r="B27" s="199" t="s">
        <v>187</v>
      </c>
      <c r="C27" s="192">
        <v>1000</v>
      </c>
      <c r="D27" s="199">
        <v>15</v>
      </c>
      <c r="E27" s="147">
        <f>IF(B27="Daily",7, IF(B27="Weekly",1, IF(B27="Every Other Day",4,"")))</f>
        <v>4</v>
      </c>
      <c r="F27" s="406">
        <f t="shared" ref="F27:F29" si="1">+D27*E27</f>
        <v>60</v>
      </c>
      <c r="G27" s="83"/>
      <c r="H27" s="80">
        <f>ROUNDUP(F31,0)</f>
        <v>1</v>
      </c>
      <c r="I27" s="62" t="s">
        <v>190</v>
      </c>
      <c r="J27" s="87"/>
      <c r="K27" s="93"/>
      <c r="L27" s="83"/>
      <c r="M27" s="83"/>
      <c r="N27" s="503"/>
      <c r="O27" s="83"/>
      <c r="P27" s="83"/>
      <c r="Q27" s="83"/>
    </row>
    <row r="28" spans="1:17" s="81" customFormat="1" x14ac:dyDescent="0.25">
      <c r="A28" s="78" t="s">
        <v>209</v>
      </c>
      <c r="B28" s="199" t="s">
        <v>187</v>
      </c>
      <c r="C28" s="192">
        <v>1000</v>
      </c>
      <c r="D28" s="199">
        <v>15</v>
      </c>
      <c r="E28" s="147">
        <f>IF(B28="Daily",7, IF(B28="Weekly",1, IF(B28="Every Other Day",4,"")))</f>
        <v>4</v>
      </c>
      <c r="F28" s="406">
        <f t="shared" si="1"/>
        <v>60</v>
      </c>
      <c r="G28" s="83"/>
      <c r="H28" s="80">
        <f>H26</f>
        <v>17</v>
      </c>
      <c r="I28" s="62" t="s">
        <v>200</v>
      </c>
      <c r="J28" s="87"/>
      <c r="K28" s="93"/>
      <c r="L28" s="83"/>
      <c r="M28" s="83"/>
      <c r="N28" s="503"/>
      <c r="O28" s="83"/>
      <c r="P28" s="83"/>
      <c r="Q28" s="83"/>
    </row>
    <row r="29" spans="1:17" s="81" customFormat="1" x14ac:dyDescent="0.25">
      <c r="A29" s="100" t="s">
        <v>210</v>
      </c>
      <c r="B29" s="101" t="s">
        <v>187</v>
      </c>
      <c r="C29" s="102">
        <v>1000</v>
      </c>
      <c r="D29" s="101">
        <v>15</v>
      </c>
      <c r="E29" s="144">
        <f>IF(B29="Daily",7, IF(B29="Weekly",1, IF(B29="Every Other Day",4,"")))</f>
        <v>4</v>
      </c>
      <c r="F29" s="407">
        <f t="shared" si="1"/>
        <v>60</v>
      </c>
      <c r="G29" s="83"/>
      <c r="H29" s="303">
        <v>0</v>
      </c>
      <c r="I29" s="71" t="s">
        <v>192</v>
      </c>
      <c r="J29" s="142">
        <f>H29*3.65</f>
        <v>0</v>
      </c>
      <c r="K29" s="143"/>
      <c r="L29" s="83"/>
      <c r="M29" s="83"/>
      <c r="N29" s="503"/>
      <c r="O29" s="83"/>
      <c r="P29" s="83"/>
      <c r="Q29" s="83"/>
    </row>
    <row r="30" spans="1:17" s="81" customFormat="1" x14ac:dyDescent="0.25">
      <c r="A30" s="88"/>
      <c r="B30" s="79"/>
      <c r="C30" s="80"/>
      <c r="D30" s="82"/>
      <c r="E30" s="167">
        <f>SUM(E26:E29)</f>
        <v>16</v>
      </c>
      <c r="F30" s="409">
        <f>SUM(F26:F29)</f>
        <v>240</v>
      </c>
      <c r="G30" s="83"/>
      <c r="H30" s="80"/>
      <c r="J30" s="128">
        <f>SUM(J24:J29)</f>
        <v>134.64000000000001</v>
      </c>
      <c r="K30" s="129">
        <f>ROUNDUP(SUM(K24:K29),0)</f>
        <v>215</v>
      </c>
      <c r="L30" s="83"/>
      <c r="M30" s="433" t="s">
        <v>202</v>
      </c>
      <c r="N30" s="428">
        <f>+K30-J30</f>
        <v>80.359999999999985</v>
      </c>
      <c r="O30" s="83"/>
      <c r="P30" s="83"/>
      <c r="Q30" s="83"/>
    </row>
    <row r="31" spans="1:17" s="81" customFormat="1" x14ac:dyDescent="0.25">
      <c r="A31" s="88"/>
      <c r="B31" s="79"/>
      <c r="C31" s="80"/>
      <c r="D31" s="82"/>
      <c r="E31" s="441" t="s">
        <v>204</v>
      </c>
      <c r="F31" s="440">
        <f>+F30/300</f>
        <v>0.8</v>
      </c>
      <c r="G31" s="83"/>
      <c r="H31" s="80"/>
      <c r="I31" s="131" t="s">
        <v>189</v>
      </c>
      <c r="J31" s="113">
        <f>+J30/H24</f>
        <v>0.56100000000000005</v>
      </c>
      <c r="K31" s="112">
        <f>+K30/H24</f>
        <v>0.89583333333333337</v>
      </c>
      <c r="L31" s="83"/>
      <c r="M31" s="83"/>
      <c r="N31" s="503"/>
      <c r="O31" s="83"/>
      <c r="P31" s="83"/>
      <c r="Q31" s="83"/>
    </row>
    <row r="32" spans="1:17" s="81" customFormat="1" x14ac:dyDescent="0.25">
      <c r="A32" s="88"/>
      <c r="B32" s="79"/>
      <c r="C32" s="80"/>
      <c r="D32" s="82"/>
      <c r="E32" s="109"/>
      <c r="F32" s="414"/>
      <c r="G32" s="83"/>
      <c r="H32" s="80"/>
      <c r="I32" s="110"/>
      <c r="J32" s="111"/>
      <c r="L32" s="83"/>
      <c r="M32" s="83"/>
      <c r="N32" s="503"/>
      <c r="O32" s="83"/>
      <c r="P32" s="83"/>
      <c r="Q32" s="83"/>
    </row>
    <row r="33" spans="1:17" s="107" customFormat="1" x14ac:dyDescent="0.25">
      <c r="A33" s="104"/>
      <c r="B33" s="105"/>
      <c r="C33" s="106"/>
      <c r="D33" s="108"/>
      <c r="E33" s="151"/>
      <c r="F33" s="421"/>
      <c r="H33" s="106"/>
      <c r="N33" s="504"/>
    </row>
    <row r="34" spans="1:17" s="98" customFormat="1" x14ac:dyDescent="0.25">
      <c r="A34" s="15"/>
      <c r="B34" s="87"/>
      <c r="C34" s="80"/>
      <c r="D34" s="115"/>
      <c r="E34" s="116"/>
      <c r="F34" s="119"/>
      <c r="G34" s="117"/>
      <c r="H34" s="80"/>
      <c r="J34" s="152"/>
      <c r="K34" s="153"/>
      <c r="L34" s="117"/>
      <c r="M34" s="117"/>
      <c r="N34" s="500"/>
      <c r="O34" s="117"/>
      <c r="P34" s="117"/>
      <c r="Q34" s="117"/>
    </row>
    <row r="35" spans="1:17" s="98" customFormat="1" x14ac:dyDescent="0.25">
      <c r="A35" s="15"/>
      <c r="B35" s="87"/>
      <c r="C35" s="80"/>
      <c r="D35" s="115"/>
      <c r="E35" s="116"/>
      <c r="F35" s="119"/>
      <c r="G35" s="117"/>
      <c r="H35" s="80"/>
      <c r="K35" s="114" t="s">
        <v>144</v>
      </c>
      <c r="L35" s="117"/>
      <c r="M35" s="117"/>
      <c r="N35" s="500"/>
      <c r="O35" s="117"/>
      <c r="P35" s="117"/>
      <c r="Q35" s="117"/>
    </row>
    <row r="36" spans="1:17" s="98" customFormat="1" x14ac:dyDescent="0.25">
      <c r="A36" s="15"/>
      <c r="B36" s="121"/>
      <c r="C36" s="80"/>
      <c r="D36" s="115"/>
      <c r="E36" s="116"/>
      <c r="F36" s="119"/>
      <c r="G36" s="117"/>
      <c r="H36" s="118">
        <f>ROUNDUP(F42,0)</f>
        <v>240</v>
      </c>
      <c r="I36" s="119" t="s">
        <v>201</v>
      </c>
      <c r="J36" s="87">
        <f>+B7*F42</f>
        <v>134.64000000000001</v>
      </c>
      <c r="K36" s="120">
        <f>+F42*G6</f>
        <v>214.64000000000001</v>
      </c>
      <c r="L36" s="117"/>
      <c r="M36" s="117"/>
      <c r="N36" s="500"/>
      <c r="O36" s="117"/>
      <c r="P36" s="117"/>
      <c r="Q36" s="117"/>
    </row>
    <row r="37" spans="1:17" s="125" customFormat="1" ht="31.5" x14ac:dyDescent="0.25">
      <c r="A37" s="653" t="s">
        <v>269</v>
      </c>
      <c r="B37" s="148" t="s">
        <v>199</v>
      </c>
      <c r="C37" s="149" t="s">
        <v>196</v>
      </c>
      <c r="D37" s="148" t="s">
        <v>197</v>
      </c>
      <c r="E37" s="122" t="s">
        <v>198</v>
      </c>
      <c r="F37" s="412" t="s">
        <v>188</v>
      </c>
      <c r="G37" s="124"/>
      <c r="H37" s="302">
        <v>0</v>
      </c>
      <c r="I37" s="62" t="s">
        <v>177</v>
      </c>
      <c r="J37" s="87">
        <f>+H37*45</f>
        <v>0</v>
      </c>
      <c r="K37" s="93">
        <f>+H37*85</f>
        <v>0</v>
      </c>
      <c r="L37" s="124"/>
      <c r="M37" s="124"/>
      <c r="N37" s="502"/>
      <c r="O37" s="124"/>
      <c r="P37" s="124"/>
      <c r="Q37" s="124"/>
    </row>
    <row r="38" spans="1:17" s="81" customFormat="1" x14ac:dyDescent="0.25">
      <c r="A38" s="78" t="s">
        <v>211</v>
      </c>
      <c r="B38" s="199" t="s">
        <v>187</v>
      </c>
      <c r="C38" s="192">
        <v>1000</v>
      </c>
      <c r="D38" s="199">
        <v>15</v>
      </c>
      <c r="E38" s="145">
        <f>IF(B38="Daily",7, IF(B38="Weekly",1, IF(B38="Every Other Day",4,"")))</f>
        <v>4</v>
      </c>
      <c r="F38" s="406">
        <f>+D38*E38</f>
        <v>60</v>
      </c>
      <c r="G38" s="83"/>
      <c r="H38" s="80">
        <f>IF(E42&gt;=25, E42+2, E42+1)</f>
        <v>17</v>
      </c>
      <c r="I38" s="62" t="s">
        <v>217</v>
      </c>
      <c r="J38" s="87"/>
      <c r="K38" s="93"/>
      <c r="L38" s="83"/>
      <c r="M38" s="83"/>
      <c r="N38" s="503"/>
      <c r="O38" s="83"/>
      <c r="P38" s="83"/>
      <c r="Q38" s="83"/>
    </row>
    <row r="39" spans="1:17" s="81" customFormat="1" x14ac:dyDescent="0.25">
      <c r="A39" s="78" t="s">
        <v>212</v>
      </c>
      <c r="B39" s="199" t="s">
        <v>187</v>
      </c>
      <c r="C39" s="192">
        <v>1000</v>
      </c>
      <c r="D39" s="199">
        <v>15</v>
      </c>
      <c r="E39" s="147">
        <f>IF(B39="Daily",7, IF(B39="Weekly",1, IF(B39="Every Other Day",4,"")))</f>
        <v>4</v>
      </c>
      <c r="F39" s="406">
        <f t="shared" ref="F39:F41" si="2">+D39*E39</f>
        <v>60</v>
      </c>
      <c r="G39" s="83"/>
      <c r="H39" s="80">
        <f>ROUNDUP(F43,0)</f>
        <v>1</v>
      </c>
      <c r="I39" s="62" t="s">
        <v>190</v>
      </c>
      <c r="J39" s="87"/>
      <c r="K39" s="93"/>
      <c r="L39" s="83"/>
      <c r="M39" s="83"/>
      <c r="N39" s="503"/>
      <c r="O39" s="83"/>
      <c r="P39" s="83"/>
      <c r="Q39" s="83"/>
    </row>
    <row r="40" spans="1:17" s="81" customFormat="1" x14ac:dyDescent="0.25">
      <c r="A40" s="78" t="s">
        <v>213</v>
      </c>
      <c r="B40" s="199" t="s">
        <v>187</v>
      </c>
      <c r="C40" s="192">
        <v>1000</v>
      </c>
      <c r="D40" s="199">
        <v>15</v>
      </c>
      <c r="E40" s="147">
        <f>IF(B40="Daily",7, IF(B40="Weekly",1, IF(B40="Every Other Day",4,"")))</f>
        <v>4</v>
      </c>
      <c r="F40" s="406">
        <f t="shared" si="2"/>
        <v>60</v>
      </c>
      <c r="G40" s="83"/>
      <c r="H40" s="80">
        <f>H38</f>
        <v>17</v>
      </c>
      <c r="I40" s="62" t="s">
        <v>200</v>
      </c>
      <c r="J40" s="87"/>
      <c r="K40" s="93"/>
      <c r="L40" s="83"/>
      <c r="M40" s="83"/>
      <c r="N40" s="503"/>
      <c r="O40" s="83"/>
      <c r="P40" s="83"/>
      <c r="Q40" s="83"/>
    </row>
    <row r="41" spans="1:17" s="81" customFormat="1" x14ac:dyDescent="0.25">
      <c r="A41" s="100" t="s">
        <v>214</v>
      </c>
      <c r="B41" s="101" t="s">
        <v>187</v>
      </c>
      <c r="C41" s="102">
        <v>1000</v>
      </c>
      <c r="D41" s="101">
        <v>15</v>
      </c>
      <c r="E41" s="144">
        <f>IF(B41="Daily",7, IF(B41="Weekly",1, IF(B41="Every Other Day",4,"")))</f>
        <v>4</v>
      </c>
      <c r="F41" s="407">
        <f t="shared" si="2"/>
        <v>60</v>
      </c>
      <c r="G41" s="83"/>
      <c r="H41" s="303">
        <v>0</v>
      </c>
      <c r="I41" s="71" t="s">
        <v>192</v>
      </c>
      <c r="J41" s="142">
        <f>H41*3.65</f>
        <v>0</v>
      </c>
      <c r="K41" s="143"/>
      <c r="L41" s="83"/>
      <c r="M41" s="83"/>
      <c r="N41" s="503"/>
      <c r="O41" s="83"/>
      <c r="P41" s="83"/>
      <c r="Q41" s="83"/>
    </row>
    <row r="42" spans="1:17" s="81" customFormat="1" x14ac:dyDescent="0.25">
      <c r="A42" s="88"/>
      <c r="B42" s="79"/>
      <c r="C42" s="80"/>
      <c r="D42" s="82"/>
      <c r="E42" s="126">
        <f>SUM(E38:E41)</f>
        <v>16</v>
      </c>
      <c r="F42" s="409">
        <f>SUM(F38:F41)</f>
        <v>240</v>
      </c>
      <c r="G42" s="83"/>
      <c r="H42" s="80"/>
      <c r="J42" s="128">
        <f>SUM(J36:J41)</f>
        <v>134.64000000000001</v>
      </c>
      <c r="K42" s="129">
        <f>ROUNDUP(SUM(K36:K41),0)</f>
        <v>215</v>
      </c>
      <c r="L42" s="83"/>
      <c r="M42" s="433" t="s">
        <v>202</v>
      </c>
      <c r="N42" s="428">
        <f>+K42-J42</f>
        <v>80.359999999999985</v>
      </c>
      <c r="O42" s="83"/>
      <c r="P42" s="83"/>
      <c r="Q42" s="83"/>
    </row>
    <row r="43" spans="1:17" s="81" customFormat="1" x14ac:dyDescent="0.25">
      <c r="A43" s="88"/>
      <c r="B43" s="79"/>
      <c r="C43" s="80"/>
      <c r="D43" s="82"/>
      <c r="E43" s="441" t="s">
        <v>204</v>
      </c>
      <c r="F43" s="440">
        <f>+F42/300</f>
        <v>0.8</v>
      </c>
      <c r="G43" s="83"/>
      <c r="H43" s="80"/>
      <c r="I43" s="131" t="s">
        <v>189</v>
      </c>
      <c r="J43" s="113">
        <f>+J42/H36</f>
        <v>0.56100000000000005</v>
      </c>
      <c r="K43" s="112">
        <f>+K42/H36</f>
        <v>0.89583333333333337</v>
      </c>
      <c r="L43" s="83"/>
      <c r="M43" s="83"/>
      <c r="N43" s="503"/>
      <c r="O43" s="83"/>
      <c r="P43" s="83"/>
      <c r="Q43" s="83"/>
    </row>
    <row r="44" spans="1:17" s="81" customFormat="1" x14ac:dyDescent="0.25">
      <c r="A44" s="88"/>
      <c r="B44" s="79"/>
      <c r="C44" s="80"/>
      <c r="D44" s="82"/>
      <c r="E44" s="109"/>
      <c r="F44" s="414"/>
      <c r="G44" s="83"/>
      <c r="H44" s="80"/>
      <c r="I44" s="131"/>
      <c r="J44" s="131"/>
      <c r="K44" s="131"/>
      <c r="L44" s="83"/>
      <c r="M44" s="83"/>
      <c r="N44" s="503"/>
      <c r="O44" s="83"/>
      <c r="P44" s="83"/>
      <c r="Q44" s="83"/>
    </row>
    <row r="45" spans="1:17" s="135" customFormat="1" x14ac:dyDescent="0.25">
      <c r="A45" s="132"/>
      <c r="B45" s="133"/>
      <c r="C45" s="134"/>
      <c r="D45" s="136"/>
      <c r="E45" s="137"/>
      <c r="F45" s="423"/>
      <c r="H45" s="134"/>
      <c r="I45" s="138"/>
      <c r="J45" s="139"/>
      <c r="K45" s="140"/>
      <c r="N45" s="505"/>
    </row>
    <row r="46" spans="1:17" s="81" customFormat="1" x14ac:dyDescent="0.25">
      <c r="A46" s="88"/>
      <c r="B46" s="79"/>
      <c r="C46" s="80"/>
      <c r="D46" s="82"/>
      <c r="E46" s="109"/>
      <c r="F46" s="414"/>
      <c r="G46" s="83"/>
      <c r="H46" s="80"/>
      <c r="I46" s="110"/>
      <c r="J46" s="111"/>
      <c r="K46" s="112"/>
      <c r="L46" s="83"/>
      <c r="M46" s="83"/>
      <c r="N46" s="503"/>
      <c r="O46" s="83"/>
      <c r="P46" s="83"/>
      <c r="Q46" s="83"/>
    </row>
    <row r="47" spans="1:17" s="81" customFormat="1" x14ac:dyDescent="0.25">
      <c r="A47" s="654" t="s">
        <v>215</v>
      </c>
      <c r="B47" s="79"/>
      <c r="C47" s="80"/>
      <c r="D47" s="82"/>
      <c r="E47" s="109"/>
      <c r="F47" s="414"/>
      <c r="G47" s="83"/>
      <c r="H47" s="80"/>
      <c r="I47" s="110"/>
      <c r="J47" s="111"/>
      <c r="K47" s="112"/>
      <c r="L47" s="83"/>
      <c r="M47" s="83"/>
      <c r="N47" s="503"/>
      <c r="O47" s="83"/>
      <c r="P47" s="83"/>
      <c r="Q47" s="83"/>
    </row>
    <row r="48" spans="1:17" s="81" customFormat="1" x14ac:dyDescent="0.25">
      <c r="A48" s="13" t="s">
        <v>195</v>
      </c>
      <c r="B48" s="79" t="s">
        <v>216</v>
      </c>
      <c r="C48" s="80"/>
      <c r="D48" s="82"/>
      <c r="E48" s="109"/>
      <c r="F48" s="414"/>
      <c r="G48" s="83"/>
      <c r="H48" s="80"/>
      <c r="I48" s="110"/>
      <c r="J48" s="111"/>
      <c r="K48" s="112"/>
      <c r="L48" s="83"/>
      <c r="M48" s="83"/>
      <c r="N48" s="503"/>
      <c r="O48" s="83"/>
      <c r="P48" s="83"/>
      <c r="Q48" s="83"/>
    </row>
    <row r="49" spans="1:17" s="81" customFormat="1" x14ac:dyDescent="0.25">
      <c r="A49" s="13"/>
      <c r="B49" s="81" t="s">
        <v>372</v>
      </c>
      <c r="C49" s="80"/>
      <c r="D49" s="82"/>
      <c r="E49" s="109"/>
      <c r="F49" s="414"/>
      <c r="G49" s="83"/>
      <c r="H49" s="80"/>
      <c r="I49" s="110"/>
      <c r="J49" s="111"/>
      <c r="K49" s="112"/>
      <c r="L49" s="83"/>
      <c r="M49" s="83"/>
      <c r="N49" s="503"/>
      <c r="O49" s="83"/>
      <c r="P49" s="83"/>
      <c r="Q49" s="83"/>
    </row>
    <row r="50" spans="1:17" s="81" customFormat="1" x14ac:dyDescent="0.25">
      <c r="A50" s="88"/>
      <c r="B50" s="79"/>
      <c r="C50" s="80"/>
      <c r="D50" s="82"/>
      <c r="E50" s="109"/>
      <c r="F50" s="414"/>
      <c r="G50" s="83"/>
      <c r="H50" s="80"/>
      <c r="I50" s="110"/>
      <c r="J50" s="111"/>
      <c r="K50" s="112"/>
      <c r="L50" s="83"/>
      <c r="M50" s="83"/>
      <c r="N50" s="503"/>
      <c r="O50" s="83"/>
      <c r="P50" s="83"/>
      <c r="Q50" s="83"/>
    </row>
    <row r="51" spans="1:17" s="379" customFormat="1" x14ac:dyDescent="0.25">
      <c r="D51" s="380"/>
      <c r="F51" s="141"/>
      <c r="G51" s="382"/>
      <c r="H51" s="383"/>
      <c r="K51" s="141"/>
      <c r="N51" s="506"/>
    </row>
    <row r="52" spans="1:17" s="379" customFormat="1" x14ac:dyDescent="0.25">
      <c r="D52" s="380"/>
      <c r="F52" s="141"/>
      <c r="G52" s="382"/>
      <c r="H52" s="383"/>
      <c r="K52" s="141"/>
      <c r="N52" s="506"/>
    </row>
    <row r="53" spans="1:17" s="379" customFormat="1" x14ac:dyDescent="0.25">
      <c r="D53" s="380"/>
      <c r="F53" s="141"/>
      <c r="G53" s="382"/>
      <c r="H53" s="383"/>
      <c r="K53" s="141"/>
      <c r="N53" s="506"/>
    </row>
    <row r="54" spans="1:17" x14ac:dyDescent="0.25">
      <c r="M54" s="62"/>
      <c r="N54"/>
    </row>
    <row r="55" spans="1:17" x14ac:dyDescent="0.25">
      <c r="M55" s="62"/>
      <c r="N55"/>
    </row>
    <row r="56" spans="1:17" x14ac:dyDescent="0.25">
      <c r="A56" t="s">
        <v>351</v>
      </c>
      <c r="E56" s="62"/>
      <c r="I56" s="62"/>
      <c r="J56" s="62"/>
      <c r="N56"/>
    </row>
    <row r="57" spans="1:17" x14ac:dyDescent="0.25">
      <c r="D57" s="516" t="s">
        <v>375</v>
      </c>
      <c r="E57" s="62"/>
      <c r="I57" s="62"/>
      <c r="J57" s="62"/>
      <c r="N57"/>
    </row>
    <row r="58" spans="1:17" s="61" customFormat="1" x14ac:dyDescent="0.25">
      <c r="A58" s="61" t="s">
        <v>368</v>
      </c>
      <c r="D58" s="61" t="s">
        <v>369</v>
      </c>
      <c r="E58" s="453"/>
      <c r="F58" s="453"/>
      <c r="G58" s="458"/>
      <c r="H58" s="459"/>
      <c r="I58" s="453"/>
      <c r="J58" s="453"/>
      <c r="K58" s="453"/>
    </row>
    <row r="59" spans="1:17" x14ac:dyDescent="0.25">
      <c r="A59" t="s">
        <v>373</v>
      </c>
      <c r="B59" s="61"/>
      <c r="E59" s="62" t="s">
        <v>366</v>
      </c>
      <c r="F59" s="461">
        <f>F42</f>
        <v>240</v>
      </c>
      <c r="I59" s="62"/>
      <c r="J59" s="62"/>
      <c r="N59"/>
    </row>
    <row r="60" spans="1:17" x14ac:dyDescent="0.25">
      <c r="A60" s="368" t="s">
        <v>364</v>
      </c>
      <c r="B60" s="460">
        <f>N42</f>
        <v>80.359999999999985</v>
      </c>
      <c r="E60" s="71" t="s">
        <v>360</v>
      </c>
      <c r="F60" s="71">
        <v>10</v>
      </c>
      <c r="I60" s="62"/>
      <c r="J60" s="62"/>
      <c r="N60"/>
    </row>
    <row r="61" spans="1:17" x14ac:dyDescent="0.25">
      <c r="E61" s="62"/>
      <c r="F61" s="62">
        <f>+F60*F59</f>
        <v>2400</v>
      </c>
      <c r="G61" s="13" t="s">
        <v>367</v>
      </c>
      <c r="I61" s="62"/>
      <c r="J61" s="62"/>
      <c r="N61"/>
    </row>
    <row r="62" spans="1:17" x14ac:dyDescent="0.25">
      <c r="E62" s="453" t="s">
        <v>361</v>
      </c>
      <c r="F62" s="453">
        <f>+F61/300</f>
        <v>8</v>
      </c>
      <c r="I62" s="62"/>
      <c r="J62" s="62"/>
      <c r="N62"/>
    </row>
    <row r="63" spans="1:17" x14ac:dyDescent="0.25">
      <c r="E63" s="62" t="s">
        <v>362</v>
      </c>
      <c r="F63" s="454">
        <f>+F62*100</f>
        <v>800</v>
      </c>
      <c r="I63" s="62"/>
      <c r="J63" s="62"/>
      <c r="N63"/>
    </row>
    <row r="64" spans="1:17" x14ac:dyDescent="0.25">
      <c r="E64" s="62"/>
      <c r="I64" s="62"/>
      <c r="J64" s="62"/>
      <c r="N64"/>
    </row>
    <row r="65" spans="1:14" x14ac:dyDescent="0.25">
      <c r="D65" s="455"/>
      <c r="E65" s="456" t="s">
        <v>363</v>
      </c>
      <c r="F65" s="457">
        <f>+F63/10</f>
        <v>80</v>
      </c>
      <c r="I65" s="62"/>
      <c r="J65" s="62"/>
      <c r="N65"/>
    </row>
    <row r="68" spans="1:14" s="379" customFormat="1" x14ac:dyDescent="0.25">
      <c r="D68" s="380"/>
      <c r="E68" s="141"/>
      <c r="F68" s="141"/>
      <c r="G68" s="382"/>
      <c r="H68" s="383"/>
      <c r="I68" s="141"/>
      <c r="J68" s="141"/>
      <c r="K68" s="141"/>
    </row>
    <row r="69" spans="1:14" s="379" customFormat="1" x14ac:dyDescent="0.25">
      <c r="D69" s="380"/>
      <c r="E69" s="141"/>
      <c r="F69" s="141"/>
      <c r="G69" s="382"/>
      <c r="H69" s="383"/>
      <c r="I69" s="141"/>
      <c r="J69" s="141"/>
      <c r="K69" s="141"/>
    </row>
    <row r="70" spans="1:14" s="379" customFormat="1" x14ac:dyDescent="0.25">
      <c r="D70" s="380"/>
      <c r="E70" s="141"/>
      <c r="F70" s="141"/>
      <c r="G70" s="382"/>
      <c r="H70" s="383"/>
      <c r="I70" s="141"/>
      <c r="J70" s="141"/>
      <c r="K70" s="141"/>
    </row>
    <row r="71" spans="1:14" x14ac:dyDescent="0.25">
      <c r="E71" s="62"/>
      <c r="I71" s="62"/>
      <c r="J71" s="62"/>
      <c r="N71"/>
    </row>
    <row r="72" spans="1:14" x14ac:dyDescent="0.25">
      <c r="E72" s="62"/>
      <c r="I72" s="62"/>
      <c r="J72" s="62"/>
      <c r="N72"/>
    </row>
    <row r="73" spans="1:14" x14ac:dyDescent="0.25">
      <c r="A73" t="s">
        <v>387</v>
      </c>
      <c r="E73" s="62"/>
      <c r="G73" t="s">
        <v>387</v>
      </c>
      <c r="H73"/>
      <c r="J73" s="67"/>
      <c r="N73"/>
    </row>
    <row r="74" spans="1:14" x14ac:dyDescent="0.25">
      <c r="A74" t="s">
        <v>388</v>
      </c>
      <c r="E74" s="62"/>
      <c r="G74" s="64" t="s">
        <v>390</v>
      </c>
      <c r="H74"/>
      <c r="J74" s="67"/>
      <c r="N74"/>
    </row>
    <row r="75" spans="1:14" x14ac:dyDescent="0.25">
      <c r="E75" s="62"/>
      <c r="G75"/>
      <c r="H75"/>
      <c r="J75" s="67"/>
      <c r="N75"/>
    </row>
    <row r="76" spans="1:14" s="587" customFormat="1" x14ac:dyDescent="0.25">
      <c r="B76" s="587" t="s">
        <v>389</v>
      </c>
      <c r="C76" s="64" t="s">
        <v>113</v>
      </c>
      <c r="D76" s="593" t="s">
        <v>202</v>
      </c>
      <c r="E76" s="588"/>
      <c r="F76" s="588"/>
      <c r="H76" s="587" t="s">
        <v>389</v>
      </c>
      <c r="I76" s="64" t="s">
        <v>113</v>
      </c>
      <c r="J76" s="593" t="s">
        <v>202</v>
      </c>
      <c r="K76" s="588"/>
    </row>
    <row r="77" spans="1:14" s="587" customFormat="1" x14ac:dyDescent="0.25">
      <c r="A77" s="599">
        <v>0</v>
      </c>
      <c r="B77" s="66">
        <f>K42</f>
        <v>215</v>
      </c>
      <c r="C77" s="65">
        <f>J42</f>
        <v>134.64000000000001</v>
      </c>
      <c r="D77" s="603">
        <f>+B77-C77</f>
        <v>80.359999999999985</v>
      </c>
      <c r="E77" s="588"/>
      <c r="F77" s="588"/>
      <c r="G77" s="599">
        <v>0</v>
      </c>
      <c r="H77" s="602">
        <f>K18</f>
        <v>122</v>
      </c>
      <c r="I77" s="600">
        <f>J18</f>
        <v>79.946000000000012</v>
      </c>
      <c r="J77" s="601">
        <f>+H77-I77</f>
        <v>42.053999999999988</v>
      </c>
      <c r="K77" s="588"/>
    </row>
    <row r="78" spans="1:14" s="64" customFormat="1" x14ac:dyDescent="0.25">
      <c r="A78" s="596">
        <v>0.1</v>
      </c>
      <c r="B78" s="66">
        <f>0.9*B77</f>
        <v>193.5</v>
      </c>
      <c r="C78" s="65">
        <f>C77</f>
        <v>134.64000000000001</v>
      </c>
      <c r="D78" s="603">
        <f t="shared" ref="D78:D81" si="3">+B78-C78</f>
        <v>58.859999999999985</v>
      </c>
      <c r="E78" s="225"/>
      <c r="F78" s="225"/>
      <c r="G78" s="596">
        <v>0.1</v>
      </c>
      <c r="H78" s="587">
        <f>0.9*H77</f>
        <v>109.8</v>
      </c>
      <c r="I78" s="600">
        <f>I77</f>
        <v>79.946000000000012</v>
      </c>
      <c r="J78" s="601">
        <f t="shared" ref="J78:J81" si="4">+H78-I78</f>
        <v>29.853999999999985</v>
      </c>
      <c r="K78" s="225"/>
    </row>
    <row r="79" spans="1:14" s="507" customFormat="1" x14ac:dyDescent="0.25">
      <c r="A79" s="597">
        <v>0.15</v>
      </c>
      <c r="B79" s="66">
        <f>+B77*0.85</f>
        <v>182.75</v>
      </c>
      <c r="C79" s="65">
        <f t="shared" ref="C79:C81" si="5">C78</f>
        <v>134.64000000000001</v>
      </c>
      <c r="D79" s="603">
        <f t="shared" si="3"/>
        <v>48.109999999999985</v>
      </c>
      <c r="E79" s="498"/>
      <c r="F79" s="498"/>
      <c r="G79" s="597">
        <v>0.15</v>
      </c>
      <c r="H79" s="587">
        <f>+H77*0.85</f>
        <v>103.7</v>
      </c>
      <c r="I79" s="600">
        <f t="shared" ref="I79:I81" si="6">I78</f>
        <v>79.946000000000012</v>
      </c>
      <c r="J79" s="601">
        <f t="shared" si="4"/>
        <v>23.753999999999991</v>
      </c>
      <c r="K79" s="498"/>
    </row>
    <row r="80" spans="1:14" x14ac:dyDescent="0.25">
      <c r="A80" s="598">
        <v>0.2</v>
      </c>
      <c r="B80" s="66">
        <f>0.8*B77</f>
        <v>172</v>
      </c>
      <c r="C80" s="65">
        <f t="shared" si="5"/>
        <v>134.64000000000001</v>
      </c>
      <c r="D80" s="604">
        <f t="shared" si="3"/>
        <v>37.359999999999985</v>
      </c>
      <c r="E80" s="62"/>
      <c r="G80" s="598">
        <v>0.2</v>
      </c>
      <c r="H80" s="587">
        <f>0.8*H77</f>
        <v>97.600000000000009</v>
      </c>
      <c r="I80" s="600">
        <f t="shared" si="6"/>
        <v>79.946000000000012</v>
      </c>
      <c r="J80" s="601">
        <f t="shared" si="4"/>
        <v>17.653999999999996</v>
      </c>
      <c r="N80"/>
    </row>
    <row r="81" spans="1:14" x14ac:dyDescent="0.25">
      <c r="A81" s="598">
        <v>0.25</v>
      </c>
      <c r="B81" s="66">
        <f>0.75*B77</f>
        <v>161.25</v>
      </c>
      <c r="C81" s="65">
        <f t="shared" si="5"/>
        <v>134.64000000000001</v>
      </c>
      <c r="D81" s="604">
        <f t="shared" si="3"/>
        <v>26.609999999999985</v>
      </c>
      <c r="E81" s="62"/>
      <c r="G81" s="598">
        <v>0.25</v>
      </c>
      <c r="H81" s="587">
        <f>0.755*H77</f>
        <v>92.11</v>
      </c>
      <c r="I81" s="600">
        <f t="shared" si="6"/>
        <v>79.946000000000012</v>
      </c>
      <c r="J81" s="601">
        <f t="shared" si="4"/>
        <v>12.163999999999987</v>
      </c>
      <c r="N81"/>
    </row>
  </sheetData>
  <mergeCells count="1">
    <mergeCell ref="C4:D4"/>
  </mergeCells>
  <dataValidations count="1">
    <dataValidation type="list" allowBlank="1" showInputMessage="1" showErrorMessage="1" sqref="B14:B17 B38:B41 B26:B29" xr:uid="{48F09421-C3F2-4D6F-8828-42EAAA9F73FD}">
      <formula1>$N$1:$N$3</formula1>
    </dataValidation>
  </dataValidations>
  <pageMargins left="0.7" right="0.7" top="0.75" bottom="0.75" header="0.3" footer="0.3"/>
  <pageSetup scale="62" fitToHeight="1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93F30-3C23-42F4-B923-1F94CF16B0B6}">
  <sheetPr codeName="Sheet9">
    <pageSetUpPr fitToPage="1"/>
  </sheetPr>
  <dimension ref="A1:R52"/>
  <sheetViews>
    <sheetView topLeftCell="A3" workbookViewId="0">
      <selection activeCell="A13" sqref="A13"/>
    </sheetView>
  </sheetViews>
  <sheetFormatPr defaultColWidth="12.125" defaultRowHeight="15.75" x14ac:dyDescent="0.25"/>
  <cols>
    <col min="1" max="1" width="10" customWidth="1"/>
    <col min="4" max="4" width="12.75" style="67" customWidth="1"/>
    <col min="6" max="6" width="12.125" style="62"/>
    <col min="7" max="7" width="12.125" style="13"/>
    <col min="8" max="8" width="12.125" style="96"/>
    <col min="11" max="11" width="12.125" style="62"/>
  </cols>
  <sheetData>
    <row r="1" spans="1:18" ht="30.75" customHeight="1" x14ac:dyDescent="0.55000000000000004">
      <c r="A1" s="234" t="s">
        <v>274</v>
      </c>
      <c r="B1" s="236"/>
      <c r="C1" s="236"/>
      <c r="D1" s="515"/>
      <c r="H1" s="158"/>
      <c r="I1" s="287"/>
      <c r="J1" s="287"/>
      <c r="K1" s="117"/>
      <c r="N1" s="154" t="s">
        <v>203</v>
      </c>
    </row>
    <row r="2" spans="1:18" s="98" customFormat="1" x14ac:dyDescent="0.25">
      <c r="A2" s="87"/>
      <c r="B2" s="200">
        <f>'Pep Costs'!B11</f>
        <v>150</v>
      </c>
      <c r="C2" s="87" t="s">
        <v>142</v>
      </c>
      <c r="F2" s="119"/>
      <c r="H2" s="117"/>
      <c r="I2" s="429"/>
      <c r="J2" s="430"/>
      <c r="K2" s="471"/>
      <c r="L2" s="117"/>
      <c r="N2" s="155" t="s">
        <v>187</v>
      </c>
      <c r="O2" s="117"/>
      <c r="P2" s="117"/>
      <c r="Q2" s="117"/>
      <c r="R2" s="117"/>
    </row>
    <row r="3" spans="1:18" s="98" customFormat="1" x14ac:dyDescent="0.25">
      <c r="A3" s="87"/>
      <c r="B3" s="170">
        <v>3.3</v>
      </c>
      <c r="C3" s="170" t="s">
        <v>185</v>
      </c>
      <c r="F3" s="112"/>
      <c r="G3" s="113"/>
      <c r="H3" s="117"/>
      <c r="I3" s="117"/>
      <c r="J3" s="117"/>
      <c r="K3" s="152"/>
      <c r="L3" s="117"/>
      <c r="N3" s="155" t="s">
        <v>206</v>
      </c>
      <c r="O3" s="117"/>
      <c r="P3" s="117"/>
      <c r="Q3" s="117"/>
      <c r="R3" s="117"/>
    </row>
    <row r="4" spans="1:18" s="98" customFormat="1" ht="31.5" customHeight="1" x14ac:dyDescent="0.4">
      <c r="A4" s="87"/>
      <c r="B4" s="142">
        <v>15</v>
      </c>
      <c r="C4" s="656" t="s">
        <v>230</v>
      </c>
      <c r="D4" s="657"/>
      <c r="F4" s="513" t="s">
        <v>349</v>
      </c>
      <c r="G4" s="512" t="s">
        <v>144</v>
      </c>
      <c r="H4" s="117"/>
      <c r="I4" s="158"/>
      <c r="J4" s="117"/>
      <c r="K4" s="152"/>
      <c r="L4" s="117"/>
      <c r="N4" s="157"/>
      <c r="O4" s="117"/>
      <c r="P4" s="117"/>
      <c r="Q4" s="117"/>
      <c r="R4" s="117"/>
    </row>
    <row r="5" spans="1:18" s="98" customFormat="1" x14ac:dyDescent="0.25">
      <c r="A5" s="314"/>
      <c r="B5" s="87">
        <f>SUM(B2:B4)</f>
        <v>168.3</v>
      </c>
      <c r="C5" s="87"/>
      <c r="F5" s="514">
        <v>100</v>
      </c>
      <c r="G5" s="207">
        <f>SUM(B5:F5)</f>
        <v>268.3</v>
      </c>
      <c r="H5" s="388"/>
      <c r="I5" s="80"/>
      <c r="K5" s="152"/>
      <c r="O5" s="117"/>
      <c r="P5" s="117"/>
      <c r="Q5" s="117"/>
      <c r="R5" s="117"/>
    </row>
    <row r="6" spans="1:18" s="98" customFormat="1" x14ac:dyDescent="0.25">
      <c r="A6" s="87"/>
      <c r="B6" s="87"/>
      <c r="C6" s="87"/>
      <c r="F6" s="514"/>
      <c r="G6" s="510"/>
      <c r="H6" s="388"/>
      <c r="I6" s="80"/>
      <c r="K6" s="152"/>
      <c r="L6" s="153"/>
      <c r="M6" s="117"/>
      <c r="N6" s="117"/>
      <c r="O6" s="117"/>
      <c r="P6" s="117"/>
      <c r="Q6" s="117"/>
      <c r="R6" s="117"/>
    </row>
    <row r="7" spans="1:18" s="98" customFormat="1" x14ac:dyDescent="0.25">
      <c r="A7" s="225" t="s">
        <v>189</v>
      </c>
      <c r="B7" s="87">
        <f>+B5/300</f>
        <v>0.56100000000000005</v>
      </c>
      <c r="C7" s="87"/>
      <c r="F7" s="394" t="s">
        <v>189</v>
      </c>
      <c r="G7" s="392">
        <f>+G5/300</f>
        <v>0.89433333333333342</v>
      </c>
      <c r="J7" s="152"/>
      <c r="K7" s="153"/>
      <c r="L7" s="117"/>
      <c r="M7" s="117"/>
      <c r="N7" s="117"/>
      <c r="O7" s="117"/>
      <c r="P7" s="117"/>
      <c r="Q7" s="117"/>
    </row>
    <row r="8" spans="1:18" s="98" customFormat="1" x14ac:dyDescent="0.25">
      <c r="A8" s="62"/>
      <c r="B8" s="87"/>
      <c r="D8" s="389"/>
      <c r="E8" s="388"/>
      <c r="F8" s="488"/>
      <c r="G8" s="117"/>
      <c r="H8" s="80"/>
      <c r="J8" s="152"/>
      <c r="K8" s="153"/>
      <c r="L8" s="117"/>
      <c r="M8" s="117"/>
      <c r="N8" s="117"/>
      <c r="O8" s="117"/>
      <c r="P8" s="117"/>
      <c r="Q8" s="117"/>
    </row>
    <row r="9" spans="1:18" s="161" customFormat="1" x14ac:dyDescent="0.25">
      <c r="A9" s="159"/>
      <c r="B9" s="160"/>
      <c r="D9" s="162"/>
      <c r="E9" s="163"/>
      <c r="F9" s="401"/>
      <c r="H9" s="164"/>
      <c r="J9" s="165"/>
      <c r="K9" s="166"/>
    </row>
    <row r="10" spans="1:18" s="98" customFormat="1" x14ac:dyDescent="0.25">
      <c r="A10" s="15"/>
      <c r="B10" s="87"/>
      <c r="C10" s="80"/>
      <c r="D10" s="115"/>
      <c r="E10" s="116"/>
      <c r="F10" s="119"/>
      <c r="G10" s="117"/>
      <c r="H10" s="80"/>
      <c r="J10" s="152"/>
      <c r="K10" s="153"/>
      <c r="L10" s="117"/>
      <c r="M10" s="117"/>
      <c r="N10" s="117"/>
      <c r="O10" s="117"/>
      <c r="P10" s="117"/>
      <c r="Q10" s="117"/>
    </row>
    <row r="11" spans="1:18" s="98" customFormat="1" x14ac:dyDescent="0.25">
      <c r="A11" s="15"/>
      <c r="B11" s="87"/>
      <c r="C11" s="80"/>
      <c r="D11" s="115"/>
      <c r="E11" s="116"/>
      <c r="F11" s="119"/>
      <c r="G11" s="117"/>
      <c r="H11" s="80"/>
      <c r="K11" s="114" t="s">
        <v>144</v>
      </c>
      <c r="L11" s="117"/>
      <c r="M11" s="117"/>
      <c r="N11" s="117"/>
      <c r="O11" s="117"/>
      <c r="P11" s="117"/>
      <c r="Q11" s="117"/>
    </row>
    <row r="12" spans="1:18" s="98" customFormat="1" x14ac:dyDescent="0.25">
      <c r="A12" s="15"/>
      <c r="B12" s="121"/>
      <c r="C12" s="80"/>
      <c r="D12" s="115"/>
      <c r="E12" s="116"/>
      <c r="F12" s="119"/>
      <c r="G12" s="117"/>
      <c r="H12" s="118">
        <f>ROUNDUP(F18,0)</f>
        <v>128</v>
      </c>
      <c r="I12" s="119" t="s">
        <v>201</v>
      </c>
      <c r="J12" s="87">
        <f>F18*B7</f>
        <v>71.808000000000007</v>
      </c>
      <c r="K12" s="120">
        <f>+F18*G7</f>
        <v>114.47466666666668</v>
      </c>
      <c r="L12" s="117"/>
      <c r="M12" s="117"/>
      <c r="N12" s="117"/>
      <c r="O12" s="117"/>
      <c r="P12" s="117"/>
      <c r="Q12" s="117"/>
    </row>
    <row r="13" spans="1:18" s="125" customFormat="1" ht="31.5" x14ac:dyDescent="0.25">
      <c r="A13" s="653" t="s">
        <v>266</v>
      </c>
      <c r="B13" s="148" t="s">
        <v>199</v>
      </c>
      <c r="C13" s="149" t="s">
        <v>196</v>
      </c>
      <c r="D13" s="148" t="s">
        <v>197</v>
      </c>
      <c r="E13" s="122" t="s">
        <v>198</v>
      </c>
      <c r="F13" s="412" t="s">
        <v>188</v>
      </c>
      <c r="G13" s="124"/>
      <c r="H13" s="302">
        <v>0</v>
      </c>
      <c r="I13" s="62" t="s">
        <v>177</v>
      </c>
      <c r="J13" s="87">
        <f>+H13*45</f>
        <v>0</v>
      </c>
      <c r="K13" s="93">
        <f>+H13*85</f>
        <v>0</v>
      </c>
      <c r="L13" s="124"/>
      <c r="M13" s="124"/>
      <c r="N13" s="124"/>
      <c r="O13" s="124"/>
      <c r="P13" s="124"/>
      <c r="Q13" s="124"/>
    </row>
    <row r="14" spans="1:18" s="81" customFormat="1" x14ac:dyDescent="0.25">
      <c r="A14" s="78" t="s">
        <v>108</v>
      </c>
      <c r="B14" s="199" t="s">
        <v>187</v>
      </c>
      <c r="C14" s="192">
        <v>500</v>
      </c>
      <c r="D14" s="199">
        <v>8</v>
      </c>
      <c r="E14" s="145">
        <f>IF(B14="Daily",7, IF(B14="Weekly",1, IF(B14="Every Other Day",4,"")))</f>
        <v>4</v>
      </c>
      <c r="F14" s="406">
        <f>+D14*E14</f>
        <v>32</v>
      </c>
      <c r="G14" s="83"/>
      <c r="H14" s="80">
        <f>IF(E18&gt;=25, E18+2, E18+1)</f>
        <v>17</v>
      </c>
      <c r="I14" s="62" t="s">
        <v>217</v>
      </c>
      <c r="J14" s="87"/>
      <c r="K14" s="93"/>
      <c r="L14" s="83"/>
      <c r="M14" s="83"/>
      <c r="N14" s="83"/>
      <c r="O14" s="83"/>
      <c r="P14" s="83"/>
      <c r="Q14" s="83"/>
    </row>
    <row r="15" spans="1:18" s="81" customFormat="1" x14ac:dyDescent="0.25">
      <c r="A15" s="78" t="s">
        <v>109</v>
      </c>
      <c r="B15" s="199" t="s">
        <v>187</v>
      </c>
      <c r="C15" s="192">
        <v>500</v>
      </c>
      <c r="D15" s="199">
        <v>8</v>
      </c>
      <c r="E15" s="147">
        <f>IF(B15="Daily",7, IF(B15="Weekly",1, IF(B15="Every Other Day",4,"")))</f>
        <v>4</v>
      </c>
      <c r="F15" s="406">
        <f t="shared" ref="F15:F17" si="0">+D15*E15</f>
        <v>32</v>
      </c>
      <c r="G15" s="83"/>
      <c r="H15" s="80">
        <f>ROUNDUP(F19,0)</f>
        <v>1</v>
      </c>
      <c r="I15" s="62" t="s">
        <v>190</v>
      </c>
      <c r="J15" s="87"/>
      <c r="K15" s="93"/>
      <c r="L15" s="83"/>
      <c r="M15" s="83"/>
      <c r="N15" s="83"/>
      <c r="O15" s="83"/>
      <c r="P15" s="83"/>
      <c r="Q15" s="83"/>
    </row>
    <row r="16" spans="1:18" s="81" customFormat="1" x14ac:dyDescent="0.25">
      <c r="A16" s="78" t="s">
        <v>110</v>
      </c>
      <c r="B16" s="199" t="s">
        <v>187</v>
      </c>
      <c r="C16" s="192">
        <v>500</v>
      </c>
      <c r="D16" s="199">
        <v>8</v>
      </c>
      <c r="E16" s="147">
        <f>IF(B16="Daily",7, IF(B16="Weekly",1, IF(B16="Every Other Day",4,"")))</f>
        <v>4</v>
      </c>
      <c r="F16" s="406">
        <f t="shared" si="0"/>
        <v>32</v>
      </c>
      <c r="G16" s="83"/>
      <c r="H16" s="80">
        <f>H14</f>
        <v>17</v>
      </c>
      <c r="I16" s="62" t="s">
        <v>200</v>
      </c>
      <c r="J16" s="87"/>
      <c r="K16" s="93"/>
      <c r="L16" s="83"/>
      <c r="M16" s="83"/>
      <c r="N16" s="83"/>
      <c r="O16" s="83"/>
      <c r="P16" s="83"/>
      <c r="Q16" s="83"/>
    </row>
    <row r="17" spans="1:17" s="81" customFormat="1" x14ac:dyDescent="0.25">
      <c r="A17" s="100" t="s">
        <v>141</v>
      </c>
      <c r="B17" s="101" t="s">
        <v>187</v>
      </c>
      <c r="C17" s="102">
        <v>500</v>
      </c>
      <c r="D17" s="101">
        <v>8</v>
      </c>
      <c r="E17" s="144">
        <f>IF(B17="Daily",7, IF(B17="Weekly",1, IF(B17="Every Other Day",4,"")))</f>
        <v>4</v>
      </c>
      <c r="F17" s="407">
        <f t="shared" si="0"/>
        <v>32</v>
      </c>
      <c r="G17" s="83"/>
      <c r="H17" s="303">
        <v>1</v>
      </c>
      <c r="I17" s="71" t="s">
        <v>192</v>
      </c>
      <c r="J17" s="142">
        <f>H17*3.65</f>
        <v>3.65</v>
      </c>
      <c r="K17" s="143"/>
      <c r="L17" s="83"/>
      <c r="M17" s="83"/>
      <c r="N17" s="83"/>
      <c r="O17" s="83"/>
      <c r="P17" s="83"/>
      <c r="Q17" s="83"/>
    </row>
    <row r="18" spans="1:17" s="81" customFormat="1" x14ac:dyDescent="0.25">
      <c r="A18" s="88"/>
      <c r="B18" s="79"/>
      <c r="C18" s="80"/>
      <c r="D18" s="82"/>
      <c r="E18" s="167">
        <f>SUM(E14:E17)</f>
        <v>16</v>
      </c>
      <c r="F18" s="409">
        <f>SUM(F14:F17)</f>
        <v>128</v>
      </c>
      <c r="G18" s="83"/>
      <c r="H18" s="80"/>
      <c r="J18" s="128">
        <f>SUM(J12:J17)</f>
        <v>75.458000000000013</v>
      </c>
      <c r="K18" s="367">
        <v>150</v>
      </c>
      <c r="L18" s="83"/>
      <c r="M18" s="503" t="s">
        <v>202</v>
      </c>
      <c r="N18" s="428">
        <f>+K18-J18</f>
        <v>74.541999999999987</v>
      </c>
      <c r="O18" s="83"/>
      <c r="P18" s="83"/>
      <c r="Q18" s="83"/>
    </row>
    <row r="19" spans="1:17" s="81" customFormat="1" x14ac:dyDescent="0.25">
      <c r="A19" s="88"/>
      <c r="B19" s="79"/>
      <c r="C19" s="80"/>
      <c r="D19" s="82"/>
      <c r="E19" s="441" t="s">
        <v>204</v>
      </c>
      <c r="F19" s="440">
        <f>+F18/300</f>
        <v>0.42666666666666669</v>
      </c>
      <c r="G19" s="83"/>
      <c r="H19" s="80"/>
      <c r="I19" s="131" t="s">
        <v>189</v>
      </c>
      <c r="J19" s="113">
        <f>+J18/H12</f>
        <v>0.5895156250000001</v>
      </c>
      <c r="K19" s="112">
        <f>+K18/H12</f>
        <v>1.171875</v>
      </c>
      <c r="L19" s="83"/>
      <c r="M19" s="83"/>
      <c r="N19" s="83"/>
      <c r="O19" s="83"/>
      <c r="P19" s="83"/>
      <c r="Q19" s="83"/>
    </row>
    <row r="21" spans="1:17" s="379" customFormat="1" x14ac:dyDescent="0.25">
      <c r="D21" s="380"/>
      <c r="F21" s="141"/>
      <c r="G21" s="382"/>
      <c r="H21" s="383"/>
      <c r="K21" s="141"/>
      <c r="N21" s="506"/>
    </row>
    <row r="22" spans="1:17" s="379" customFormat="1" x14ac:dyDescent="0.25">
      <c r="D22" s="380"/>
      <c r="F22" s="141"/>
      <c r="G22" s="382"/>
      <c r="H22" s="383"/>
      <c r="K22" s="141"/>
      <c r="N22" s="506"/>
    </row>
    <row r="23" spans="1:17" s="379" customFormat="1" x14ac:dyDescent="0.25">
      <c r="D23" s="380"/>
      <c r="F23" s="141"/>
      <c r="G23" s="382"/>
      <c r="H23" s="383"/>
      <c r="K23" s="141"/>
      <c r="N23" s="506"/>
    </row>
    <row r="24" spans="1:17" x14ac:dyDescent="0.25">
      <c r="M24" s="62"/>
    </row>
    <row r="25" spans="1:17" x14ac:dyDescent="0.25">
      <c r="M25" s="62"/>
    </row>
    <row r="26" spans="1:17" x14ac:dyDescent="0.25">
      <c r="A26" t="s">
        <v>351</v>
      </c>
      <c r="E26" s="62"/>
      <c r="I26" s="62"/>
      <c r="J26" s="62"/>
    </row>
    <row r="27" spans="1:17" ht="17.25" customHeight="1" x14ac:dyDescent="0.25">
      <c r="D27" s="516" t="s">
        <v>375</v>
      </c>
      <c r="E27" s="62"/>
      <c r="I27" s="62"/>
      <c r="J27" s="62"/>
    </row>
    <row r="28" spans="1:17" s="61" customFormat="1" x14ac:dyDescent="0.25">
      <c r="A28" s="61" t="s">
        <v>368</v>
      </c>
      <c r="D28" s="61" t="s">
        <v>369</v>
      </c>
      <c r="E28" s="453"/>
      <c r="F28" s="453"/>
      <c r="G28" s="458"/>
      <c r="H28" s="459"/>
      <c r="I28" s="453"/>
      <c r="J28" s="453"/>
      <c r="K28" s="453"/>
    </row>
    <row r="29" spans="1:17" x14ac:dyDescent="0.25">
      <c r="A29" t="s">
        <v>374</v>
      </c>
      <c r="B29" s="61"/>
      <c r="E29" s="62" t="s">
        <v>366</v>
      </c>
      <c r="F29" s="461">
        <f>F18</f>
        <v>128</v>
      </c>
      <c r="I29" s="62"/>
      <c r="J29" s="62"/>
    </row>
    <row r="30" spans="1:17" x14ac:dyDescent="0.25">
      <c r="A30" t="s">
        <v>364</v>
      </c>
      <c r="B30" s="227">
        <f>N18</f>
        <v>74.541999999999987</v>
      </c>
      <c r="E30" s="71" t="s">
        <v>360</v>
      </c>
      <c r="F30" s="71">
        <v>10</v>
      </c>
      <c r="I30" s="62"/>
      <c r="J30" s="62"/>
    </row>
    <row r="31" spans="1:17" x14ac:dyDescent="0.25">
      <c r="E31" s="62"/>
      <c r="F31" s="62">
        <f>+F30*F29</f>
        <v>1280</v>
      </c>
      <c r="G31" s="13" t="s">
        <v>367</v>
      </c>
      <c r="I31" s="62"/>
      <c r="J31" s="62"/>
    </row>
    <row r="32" spans="1:17" x14ac:dyDescent="0.25">
      <c r="E32" s="453" t="s">
        <v>361</v>
      </c>
      <c r="F32" s="453">
        <f>ROUNDUP((F31/300),0)</f>
        <v>5</v>
      </c>
      <c r="I32" s="62"/>
      <c r="J32" s="62"/>
    </row>
    <row r="33" spans="1:11" x14ac:dyDescent="0.25">
      <c r="E33" s="62" t="s">
        <v>362</v>
      </c>
      <c r="F33" s="454">
        <f>+F32*100</f>
        <v>500</v>
      </c>
      <c r="I33" s="62"/>
      <c r="J33" s="62"/>
    </row>
    <row r="34" spans="1:11" x14ac:dyDescent="0.25">
      <c r="E34" s="62"/>
      <c r="I34" s="62"/>
      <c r="J34" s="62"/>
    </row>
    <row r="35" spans="1:11" x14ac:dyDescent="0.25">
      <c r="D35" s="455"/>
      <c r="E35" s="456" t="s">
        <v>363</v>
      </c>
      <c r="F35" s="457">
        <f>+F33/10</f>
        <v>50</v>
      </c>
      <c r="I35" s="62"/>
      <c r="J35" s="62"/>
    </row>
    <row r="39" spans="1:11" s="379" customFormat="1" x14ac:dyDescent="0.25">
      <c r="D39" s="380"/>
      <c r="E39" s="141"/>
      <c r="F39" s="141"/>
      <c r="G39" s="382"/>
      <c r="H39" s="383"/>
      <c r="I39" s="141"/>
      <c r="J39" s="141"/>
      <c r="K39" s="141"/>
    </row>
    <row r="40" spans="1:11" s="379" customFormat="1" x14ac:dyDescent="0.25">
      <c r="D40" s="380"/>
      <c r="E40" s="141"/>
      <c r="F40" s="141"/>
      <c r="G40" s="382"/>
      <c r="H40" s="383"/>
      <c r="I40" s="141"/>
      <c r="J40" s="141"/>
      <c r="K40" s="141"/>
    </row>
    <row r="41" spans="1:11" s="379" customFormat="1" x14ac:dyDescent="0.25">
      <c r="D41" s="380"/>
      <c r="E41" s="141"/>
      <c r="F41" s="141"/>
      <c r="G41" s="382"/>
      <c r="H41" s="383"/>
      <c r="I41" s="141"/>
      <c r="J41" s="141"/>
      <c r="K41" s="141"/>
    </row>
    <row r="42" spans="1:11" x14ac:dyDescent="0.25">
      <c r="E42" s="62"/>
      <c r="I42" s="62"/>
      <c r="J42" s="62"/>
    </row>
    <row r="43" spans="1:11" x14ac:dyDescent="0.25">
      <c r="E43" s="62"/>
      <c r="I43" s="62"/>
      <c r="J43" s="62"/>
    </row>
    <row r="44" spans="1:11" x14ac:dyDescent="0.25">
      <c r="A44" t="s">
        <v>387</v>
      </c>
      <c r="E44" s="62"/>
      <c r="G44" t="s">
        <v>387</v>
      </c>
      <c r="H44"/>
      <c r="J44" s="67"/>
    </row>
    <row r="45" spans="1:11" x14ac:dyDescent="0.25">
      <c r="A45" t="s">
        <v>388</v>
      </c>
      <c r="E45" s="62"/>
      <c r="G45" s="64" t="s">
        <v>390</v>
      </c>
      <c r="H45"/>
      <c r="J45" s="67"/>
    </row>
    <row r="46" spans="1:11" x14ac:dyDescent="0.25">
      <c r="E46" s="62"/>
      <c r="G46"/>
      <c r="H46"/>
      <c r="J46" s="67"/>
    </row>
    <row r="47" spans="1:11" s="587" customFormat="1" x14ac:dyDescent="0.25">
      <c r="B47" s="587" t="s">
        <v>389</v>
      </c>
      <c r="C47" s="64" t="s">
        <v>113</v>
      </c>
      <c r="D47" s="593" t="s">
        <v>202</v>
      </c>
      <c r="E47" s="588"/>
      <c r="F47" s="588"/>
      <c r="H47" s="587" t="s">
        <v>389</v>
      </c>
      <c r="I47" s="64" t="s">
        <v>113</v>
      </c>
      <c r="J47" s="593" t="s">
        <v>202</v>
      </c>
      <c r="K47" s="588"/>
    </row>
    <row r="48" spans="1:11" s="587" customFormat="1" x14ac:dyDescent="0.25">
      <c r="A48" s="599">
        <v>0</v>
      </c>
      <c r="B48" s="66">
        <f>K18</f>
        <v>150</v>
      </c>
      <c r="C48" s="65">
        <f>J18</f>
        <v>75.458000000000013</v>
      </c>
      <c r="D48" s="603">
        <f>+B48-C48</f>
        <v>74.541999999999987</v>
      </c>
      <c r="E48" s="588"/>
      <c r="F48" s="588"/>
      <c r="G48" s="599">
        <v>0</v>
      </c>
      <c r="H48" s="602">
        <f>K18</f>
        <v>150</v>
      </c>
      <c r="I48" s="600">
        <f>J18</f>
        <v>75.458000000000013</v>
      </c>
      <c r="J48" s="601">
        <f>+H48-I48</f>
        <v>74.541999999999987</v>
      </c>
      <c r="K48" s="588"/>
    </row>
    <row r="49" spans="1:11" s="64" customFormat="1" x14ac:dyDescent="0.25">
      <c r="A49" s="596">
        <v>0.1</v>
      </c>
      <c r="B49" s="66">
        <f>0.9*B48</f>
        <v>135</v>
      </c>
      <c r="C49" s="65">
        <f>C48</f>
        <v>75.458000000000013</v>
      </c>
      <c r="D49" s="603">
        <f t="shared" ref="D49:D52" si="1">+B49-C49</f>
        <v>59.541999999999987</v>
      </c>
      <c r="E49" s="225"/>
      <c r="F49" s="225"/>
      <c r="G49" s="596">
        <v>0.1</v>
      </c>
      <c r="H49" s="587">
        <f>0.9*H48</f>
        <v>135</v>
      </c>
      <c r="I49" s="600">
        <f>I48</f>
        <v>75.458000000000013</v>
      </c>
      <c r="J49" s="601">
        <f t="shared" ref="J49:J52" si="2">+H49-I49</f>
        <v>59.541999999999987</v>
      </c>
      <c r="K49" s="225"/>
    </row>
    <row r="50" spans="1:11" s="507" customFormat="1" x14ac:dyDescent="0.25">
      <c r="A50" s="597">
        <v>0.15</v>
      </c>
      <c r="B50" s="66">
        <f>+B48*0.85</f>
        <v>127.5</v>
      </c>
      <c r="C50" s="65">
        <f t="shared" ref="C50:C52" si="3">C49</f>
        <v>75.458000000000013</v>
      </c>
      <c r="D50" s="603">
        <f t="shared" si="1"/>
        <v>52.041999999999987</v>
      </c>
      <c r="E50" s="498"/>
      <c r="F50" s="498"/>
      <c r="G50" s="597">
        <v>0.15</v>
      </c>
      <c r="H50" s="587">
        <f>+H48*0.85</f>
        <v>127.5</v>
      </c>
      <c r="I50" s="600">
        <f t="shared" ref="I50:I52" si="4">I49</f>
        <v>75.458000000000013</v>
      </c>
      <c r="J50" s="601">
        <f t="shared" si="2"/>
        <v>52.041999999999987</v>
      </c>
      <c r="K50" s="498"/>
    </row>
    <row r="51" spans="1:11" x14ac:dyDescent="0.25">
      <c r="A51" s="598">
        <v>0.2</v>
      </c>
      <c r="B51" s="66">
        <f>0.8*B48</f>
        <v>120</v>
      </c>
      <c r="C51" s="65">
        <f t="shared" si="3"/>
        <v>75.458000000000013</v>
      </c>
      <c r="D51" s="604">
        <f t="shared" si="1"/>
        <v>44.541999999999987</v>
      </c>
      <c r="E51" s="62"/>
      <c r="G51" s="598">
        <v>0.2</v>
      </c>
      <c r="H51" s="587">
        <f>0.8*H48</f>
        <v>120</v>
      </c>
      <c r="I51" s="600">
        <f t="shared" si="4"/>
        <v>75.458000000000013</v>
      </c>
      <c r="J51" s="601">
        <f t="shared" si="2"/>
        <v>44.541999999999987</v>
      </c>
    </row>
    <row r="52" spans="1:11" x14ac:dyDescent="0.25">
      <c r="A52" s="598">
        <v>0.25</v>
      </c>
      <c r="B52" s="66">
        <f>0.75*B48</f>
        <v>112.5</v>
      </c>
      <c r="C52" s="65">
        <f t="shared" si="3"/>
        <v>75.458000000000013</v>
      </c>
      <c r="D52" s="604">
        <f t="shared" si="1"/>
        <v>37.041999999999987</v>
      </c>
      <c r="E52" s="62"/>
      <c r="G52" s="598">
        <v>0.25</v>
      </c>
      <c r="H52" s="587">
        <f>0.755*H48</f>
        <v>113.25</v>
      </c>
      <c r="I52" s="600">
        <f t="shared" si="4"/>
        <v>75.458000000000013</v>
      </c>
      <c r="J52" s="601">
        <f t="shared" si="2"/>
        <v>37.791999999999987</v>
      </c>
    </row>
  </sheetData>
  <mergeCells count="1">
    <mergeCell ref="C4:D4"/>
  </mergeCells>
  <dataValidations count="1">
    <dataValidation type="list" allowBlank="1" showInputMessage="1" showErrorMessage="1" sqref="B14:B17" xr:uid="{3D35486A-82CD-4C54-8980-A751B3147982}">
      <formula1>$M$1:$M$3</formula1>
    </dataValidation>
  </dataValidations>
  <pageMargins left="0.7" right="0.7" top="0.75" bottom="0.75" header="0.3" footer="0.3"/>
  <pageSetup scale="6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D269C-3083-4A61-86C3-BE3B33CD9E53}">
  <sheetPr codeName="Sheet25">
    <pageSetUpPr fitToPage="1"/>
  </sheetPr>
  <dimension ref="A1:S103"/>
  <sheetViews>
    <sheetView topLeftCell="A49" workbookViewId="0">
      <selection activeCell="D32" sqref="D32"/>
    </sheetView>
  </sheetViews>
  <sheetFormatPr defaultColWidth="12.125" defaultRowHeight="15.75" x14ac:dyDescent="0.25"/>
  <cols>
    <col min="1" max="1" width="10" customWidth="1"/>
    <col min="5" max="5" width="12.125" style="67"/>
    <col min="7" max="7" width="12.125" style="95"/>
    <col min="8" max="8" width="12.125" style="13"/>
    <col min="9" max="9" width="12.125" style="96"/>
    <col min="12" max="12" width="12.125" style="62"/>
  </cols>
  <sheetData>
    <row r="1" spans="1:19" ht="30.75" customHeight="1" x14ac:dyDescent="0.55000000000000004">
      <c r="A1" s="234" t="s">
        <v>355</v>
      </c>
      <c r="B1" s="236"/>
      <c r="C1" s="236"/>
      <c r="D1" s="236"/>
      <c r="I1" s="117"/>
      <c r="J1" s="287"/>
      <c r="K1" s="287"/>
      <c r="L1" s="117"/>
      <c r="M1" s="287"/>
      <c r="O1" s="154" t="s">
        <v>203</v>
      </c>
    </row>
    <row r="2" spans="1:19" s="98" customFormat="1" x14ac:dyDescent="0.25">
      <c r="A2" s="87"/>
      <c r="B2" s="200">
        <v>59.26</v>
      </c>
      <c r="C2" s="87" t="s">
        <v>142</v>
      </c>
      <c r="D2" s="87"/>
      <c r="E2" s="117"/>
      <c r="F2" s="117"/>
      <c r="G2" s="117"/>
      <c r="H2" s="117"/>
      <c r="I2" s="117"/>
      <c r="J2" s="429"/>
      <c r="K2" s="430"/>
      <c r="L2" s="471"/>
      <c r="M2" s="117"/>
      <c r="O2" s="155" t="s">
        <v>187</v>
      </c>
      <c r="P2" s="117"/>
      <c r="Q2" s="117"/>
      <c r="R2" s="117"/>
      <c r="S2" s="117"/>
    </row>
    <row r="3" spans="1:19" s="98" customFormat="1" x14ac:dyDescent="0.25">
      <c r="A3" s="87"/>
      <c r="B3" s="170">
        <v>3.3</v>
      </c>
      <c r="C3" s="170" t="s">
        <v>185</v>
      </c>
      <c r="D3" s="87"/>
      <c r="E3" s="117"/>
      <c r="F3" s="117"/>
      <c r="G3" s="117"/>
      <c r="H3" s="117"/>
      <c r="I3" s="117"/>
      <c r="J3" s="117"/>
      <c r="K3" s="117"/>
      <c r="L3" s="152"/>
      <c r="M3" s="117"/>
      <c r="O3" s="155" t="s">
        <v>206</v>
      </c>
      <c r="P3" s="117"/>
      <c r="Q3" s="117"/>
      <c r="R3" s="117"/>
      <c r="S3" s="117"/>
    </row>
    <row r="4" spans="1:19" s="98" customFormat="1" ht="33" customHeight="1" x14ac:dyDescent="0.4">
      <c r="A4" s="87"/>
      <c r="B4" s="142">
        <v>15</v>
      </c>
      <c r="C4" s="656" t="s">
        <v>230</v>
      </c>
      <c r="D4" s="657"/>
      <c r="E4" s="270"/>
      <c r="F4" s="511" t="s">
        <v>349</v>
      </c>
      <c r="G4" s="512" t="s">
        <v>144</v>
      </c>
      <c r="H4" s="117"/>
      <c r="I4" s="117"/>
      <c r="J4" s="158"/>
      <c r="K4" s="117"/>
      <c r="L4" s="152"/>
      <c r="M4" s="117"/>
      <c r="O4" s="157"/>
      <c r="P4" s="117"/>
      <c r="Q4" s="117"/>
      <c r="R4" s="117"/>
      <c r="S4" s="117"/>
    </row>
    <row r="5" spans="1:19" s="98" customFormat="1" x14ac:dyDescent="0.25">
      <c r="A5" s="314"/>
      <c r="B5" s="87">
        <f>SUM(B2:B4)</f>
        <v>77.56</v>
      </c>
      <c r="C5" s="87"/>
      <c r="D5" s="87"/>
      <c r="E5" s="270"/>
      <c r="F5" s="117">
        <v>35</v>
      </c>
      <c r="G5" s="130">
        <f>+F5+B5</f>
        <v>112.56</v>
      </c>
      <c r="H5" s="117"/>
      <c r="I5" s="117"/>
      <c r="J5" s="158"/>
      <c r="K5" s="117"/>
      <c r="L5" s="152"/>
      <c r="M5" s="117"/>
      <c r="P5" s="117"/>
      <c r="Q5" s="117"/>
      <c r="R5" s="117"/>
      <c r="S5" s="117"/>
    </row>
    <row r="6" spans="1:19" s="98" customFormat="1" x14ac:dyDescent="0.25">
      <c r="A6" s="87"/>
      <c r="B6" s="87"/>
      <c r="C6" s="87"/>
      <c r="D6" s="87"/>
      <c r="E6" s="117"/>
      <c r="F6" s="117"/>
      <c r="G6" s="120"/>
      <c r="H6" s="471"/>
      <c r="I6" s="117"/>
      <c r="J6" s="80"/>
      <c r="L6" s="152"/>
      <c r="M6" s="153"/>
      <c r="N6" s="117"/>
      <c r="O6" s="117"/>
      <c r="P6" s="117"/>
      <c r="Q6" s="117"/>
      <c r="R6" s="117"/>
      <c r="S6" s="117"/>
    </row>
    <row r="7" spans="1:19" s="98" customFormat="1" x14ac:dyDescent="0.25">
      <c r="A7" s="225" t="s">
        <v>189</v>
      </c>
      <c r="B7" s="87">
        <f>+B5/300</f>
        <v>0.25853333333333334</v>
      </c>
      <c r="C7" s="87"/>
      <c r="D7" s="87"/>
      <c r="E7" s="62"/>
      <c r="F7" s="62" t="s">
        <v>189</v>
      </c>
      <c r="G7" s="392">
        <f>+G5/300</f>
        <v>0.37520000000000003</v>
      </c>
      <c r="H7" s="117"/>
      <c r="I7" s="80"/>
      <c r="K7" s="152"/>
      <c r="L7" s="153"/>
      <c r="M7" s="117"/>
      <c r="N7" s="117"/>
      <c r="O7" s="117"/>
      <c r="P7" s="117"/>
      <c r="Q7" s="117"/>
      <c r="R7" s="117"/>
    </row>
    <row r="8" spans="1:19" s="117" customFormat="1" x14ac:dyDescent="0.25">
      <c r="A8" s="225"/>
      <c r="B8" s="128"/>
      <c r="C8" s="128"/>
      <c r="D8" s="128"/>
      <c r="E8" s="62"/>
      <c r="F8" s="390"/>
      <c r="G8" s="471"/>
      <c r="I8" s="158"/>
      <c r="K8" s="152"/>
      <c r="L8" s="153"/>
    </row>
    <row r="9" spans="1:19" s="161" customFormat="1" x14ac:dyDescent="0.25">
      <c r="A9" s="141"/>
      <c r="B9" s="160"/>
      <c r="D9" s="307"/>
      <c r="E9" s="238"/>
      <c r="F9" s="239"/>
      <c r="H9" s="164"/>
      <c r="J9" s="165"/>
      <c r="K9" s="166"/>
    </row>
    <row r="10" spans="1:19" s="161" customFormat="1" x14ac:dyDescent="0.25">
      <c r="A10" s="141"/>
      <c r="B10" s="160"/>
      <c r="D10" s="307"/>
      <c r="E10" s="238"/>
      <c r="F10" s="239"/>
      <c r="H10" s="164"/>
      <c r="J10" s="165"/>
      <c r="K10" s="166"/>
    </row>
    <row r="11" spans="1:19" s="241" customFormat="1" x14ac:dyDescent="0.25">
      <c r="A11" s="186"/>
      <c r="B11" s="240"/>
      <c r="D11" s="308"/>
      <c r="E11" s="242"/>
      <c r="F11" s="243"/>
      <c r="H11" s="173"/>
      <c r="J11" s="244"/>
      <c r="K11" s="245"/>
    </row>
    <row r="12" spans="1:19" s="98" customFormat="1" x14ac:dyDescent="0.25">
      <c r="A12" s="15"/>
      <c r="B12" s="87"/>
      <c r="C12" s="80"/>
      <c r="D12" s="115"/>
      <c r="E12" s="116"/>
      <c r="G12" s="117"/>
      <c r="H12" s="80"/>
      <c r="J12" s="152"/>
      <c r="K12" s="153"/>
      <c r="L12" s="117"/>
      <c r="M12" s="117"/>
      <c r="N12" s="117"/>
      <c r="O12" s="117"/>
      <c r="P12" s="117"/>
      <c r="Q12" s="117"/>
    </row>
    <row r="13" spans="1:19" s="98" customFormat="1" x14ac:dyDescent="0.25">
      <c r="A13" s="168" t="s">
        <v>218</v>
      </c>
      <c r="B13" s="87"/>
      <c r="C13" s="80"/>
      <c r="D13" s="115"/>
      <c r="E13" s="116"/>
      <c r="G13" s="117"/>
      <c r="H13" s="80"/>
      <c r="K13" s="280" t="s">
        <v>144</v>
      </c>
      <c r="L13" s="117"/>
      <c r="M13" s="117"/>
      <c r="N13" s="117"/>
      <c r="O13" s="117"/>
      <c r="P13" s="117"/>
      <c r="Q13" s="117"/>
    </row>
    <row r="14" spans="1:19" s="98" customFormat="1" x14ac:dyDescent="0.25">
      <c r="A14" s="15"/>
      <c r="B14" s="121"/>
      <c r="C14" s="80"/>
      <c r="D14" s="115"/>
      <c r="E14" s="116"/>
      <c r="G14" s="117"/>
      <c r="H14" s="261">
        <f>ROUNDUP(F20,0)</f>
        <v>285</v>
      </c>
      <c r="I14" s="262" t="s">
        <v>201</v>
      </c>
      <c r="J14" s="87">
        <f>+B7*F20</f>
        <v>73.682000000000002</v>
      </c>
      <c r="K14" s="264">
        <f>+F20*G7</f>
        <v>106.93200000000002</v>
      </c>
      <c r="L14" s="117"/>
      <c r="M14" s="117"/>
      <c r="N14" s="117"/>
      <c r="O14" s="117"/>
      <c r="P14" s="117"/>
      <c r="Q14" s="117"/>
    </row>
    <row r="15" spans="1:19" s="125" customFormat="1" ht="31.5" x14ac:dyDescent="0.25">
      <c r="A15" s="182"/>
      <c r="B15" s="183" t="s">
        <v>199</v>
      </c>
      <c r="C15" s="184" t="s">
        <v>196</v>
      </c>
      <c r="D15" s="183" t="s">
        <v>197</v>
      </c>
      <c r="E15" s="169" t="s">
        <v>198</v>
      </c>
      <c r="F15" s="185" t="s">
        <v>188</v>
      </c>
      <c r="G15" s="124"/>
      <c r="H15" s="265">
        <v>1</v>
      </c>
      <c r="I15" s="309" t="s">
        <v>177</v>
      </c>
      <c r="J15" s="310">
        <f>+H15*45</f>
        <v>45</v>
      </c>
      <c r="K15" s="311">
        <f>+H15*85</f>
        <v>85</v>
      </c>
      <c r="L15" s="124"/>
      <c r="M15" s="502"/>
      <c r="N15" s="502"/>
      <c r="O15" s="124"/>
      <c r="P15" s="124"/>
      <c r="Q15" s="124"/>
    </row>
    <row r="16" spans="1:19" s="81" customFormat="1" x14ac:dyDescent="0.25">
      <c r="A16" s="306" t="s">
        <v>219</v>
      </c>
      <c r="B16" s="251" t="s">
        <v>203</v>
      </c>
      <c r="C16" s="252">
        <v>500</v>
      </c>
      <c r="D16" s="251">
        <v>15</v>
      </c>
      <c r="E16" s="254">
        <f>IF(B16="Daily",7, IF(B16="Weekly",1, IF(B16="Every Other Day",4,"")))</f>
        <v>7</v>
      </c>
      <c r="F16" s="255">
        <f>+D16*E16</f>
        <v>105</v>
      </c>
      <c r="G16" s="83"/>
      <c r="H16" s="266">
        <f>IF(E20&gt;=25, E20+2, E20+1)</f>
        <v>20</v>
      </c>
      <c r="I16" s="305" t="s">
        <v>217</v>
      </c>
      <c r="J16" s="87"/>
      <c r="K16" s="263"/>
      <c r="L16" s="83"/>
      <c r="M16" s="503"/>
      <c r="N16" s="503"/>
      <c r="O16" s="83"/>
      <c r="P16" s="83"/>
      <c r="Q16" s="83"/>
    </row>
    <row r="17" spans="1:17" s="81" customFormat="1" x14ac:dyDescent="0.25">
      <c r="A17" s="306" t="s">
        <v>219</v>
      </c>
      <c r="B17" s="251" t="s">
        <v>187</v>
      </c>
      <c r="C17" s="252">
        <v>500</v>
      </c>
      <c r="D17" s="251">
        <v>15</v>
      </c>
      <c r="E17" s="256">
        <f>IF(B17="Daily",7, IF(B17="Weekly",1, IF(B17="Every Other Day",4,"")))</f>
        <v>4</v>
      </c>
      <c r="F17" s="255">
        <f t="shared" ref="F17:F19" si="0">+D17*E17</f>
        <v>60</v>
      </c>
      <c r="G17" s="83"/>
      <c r="H17" s="266">
        <f>ROUNDUP(F21,0)</f>
        <v>1</v>
      </c>
      <c r="I17" s="305" t="s">
        <v>190</v>
      </c>
      <c r="J17" s="87"/>
      <c r="K17" s="263"/>
      <c r="L17" s="83"/>
      <c r="M17" s="503"/>
      <c r="N17" s="503"/>
      <c r="O17" s="83"/>
      <c r="P17" s="83"/>
      <c r="Q17" s="83"/>
    </row>
    <row r="18" spans="1:17" s="81" customFormat="1" x14ac:dyDescent="0.25">
      <c r="A18" s="306" t="s">
        <v>219</v>
      </c>
      <c r="B18" s="251" t="s">
        <v>203</v>
      </c>
      <c r="C18" s="252">
        <v>500</v>
      </c>
      <c r="D18" s="251">
        <v>15</v>
      </c>
      <c r="E18" s="256">
        <f>IF(B18="Daily",7, IF(B18="Weekly",1, IF(B18="Every Other Day",4,"")))</f>
        <v>7</v>
      </c>
      <c r="F18" s="255">
        <f t="shared" si="0"/>
        <v>105</v>
      </c>
      <c r="G18" s="83"/>
      <c r="H18" s="266">
        <f>H16</f>
        <v>20</v>
      </c>
      <c r="I18" s="305" t="s">
        <v>200</v>
      </c>
      <c r="J18" s="87"/>
      <c r="K18" s="263"/>
      <c r="L18" s="83"/>
      <c r="M18" s="503"/>
      <c r="N18" s="503"/>
      <c r="O18" s="83"/>
      <c r="P18" s="83"/>
      <c r="Q18" s="83"/>
    </row>
    <row r="19" spans="1:17" s="81" customFormat="1" x14ac:dyDescent="0.25">
      <c r="A19" s="306" t="s">
        <v>219</v>
      </c>
      <c r="B19" s="257" t="s">
        <v>206</v>
      </c>
      <c r="C19" s="258">
        <v>500</v>
      </c>
      <c r="D19" s="257">
        <v>15</v>
      </c>
      <c r="E19" s="259">
        <f>IF(B19="Daily",7, IF(B19="Weekly",1, IF(B19="Every Other Day",4,"")))</f>
        <v>1</v>
      </c>
      <c r="F19" s="260">
        <f t="shared" si="0"/>
        <v>15</v>
      </c>
      <c r="G19" s="83"/>
      <c r="H19" s="252">
        <v>0</v>
      </c>
      <c r="I19" s="304" t="s">
        <v>192</v>
      </c>
      <c r="J19" s="142">
        <f>H19*3.65</f>
        <v>0</v>
      </c>
      <c r="K19" s="267"/>
      <c r="L19" s="83"/>
      <c r="M19" s="503"/>
      <c r="N19" s="503"/>
      <c r="O19" s="83"/>
      <c r="P19" s="83"/>
      <c r="Q19" s="83"/>
    </row>
    <row r="20" spans="1:17" s="81" customFormat="1" x14ac:dyDescent="0.25">
      <c r="A20" s="88"/>
      <c r="B20" s="79"/>
      <c r="C20" s="80"/>
      <c r="D20" s="82"/>
      <c r="E20" s="167">
        <f>SUM(E16:E19)</f>
        <v>19</v>
      </c>
      <c r="F20" s="279">
        <f>SUM(F16:F19)</f>
        <v>285</v>
      </c>
      <c r="G20" s="83"/>
      <c r="H20" s="80"/>
      <c r="J20" s="128">
        <f>SUM(J14:J19)</f>
        <v>118.682</v>
      </c>
      <c r="K20" s="269">
        <f>ROUNDUP(SUM(K14:K19),0)</f>
        <v>192</v>
      </c>
      <c r="L20" s="83"/>
      <c r="M20" s="427" t="s">
        <v>202</v>
      </c>
      <c r="N20" s="428">
        <f>+K20-J20</f>
        <v>73.317999999999998</v>
      </c>
      <c r="O20" s="83"/>
      <c r="P20" s="83"/>
      <c r="Q20" s="83"/>
    </row>
    <row r="21" spans="1:17" s="81" customFormat="1" x14ac:dyDescent="0.25">
      <c r="A21" s="88"/>
      <c r="B21" s="79"/>
      <c r="C21" s="80"/>
      <c r="D21" s="82"/>
      <c r="E21" s="89" t="s">
        <v>204</v>
      </c>
      <c r="F21" s="110">
        <f>+F20/300</f>
        <v>0.95</v>
      </c>
      <c r="G21" s="83"/>
      <c r="H21" s="80"/>
      <c r="I21" s="131" t="s">
        <v>189</v>
      </c>
      <c r="J21" s="113">
        <f>+J20/H14</f>
        <v>0.41642807017543859</v>
      </c>
      <c r="K21" s="112">
        <f>+K20/H14</f>
        <v>0.67368421052631577</v>
      </c>
      <c r="L21" s="83"/>
      <c r="M21" s="427"/>
      <c r="N21" s="427"/>
      <c r="O21" s="83"/>
      <c r="P21" s="83"/>
      <c r="Q21" s="83"/>
    </row>
    <row r="22" spans="1:17" s="81" customFormat="1" x14ac:dyDescent="0.25">
      <c r="A22" s="88"/>
      <c r="B22" s="79"/>
      <c r="C22" s="80"/>
      <c r="D22" s="82"/>
      <c r="E22" s="109"/>
      <c r="G22" s="83"/>
      <c r="H22" s="80"/>
      <c r="L22" s="83"/>
      <c r="M22" s="503"/>
      <c r="N22" s="503"/>
      <c r="O22" s="83"/>
      <c r="P22" s="83"/>
      <c r="Q22" s="83"/>
    </row>
    <row r="23" spans="1:17" s="161" customFormat="1" x14ac:dyDescent="0.25">
      <c r="A23" s="141"/>
      <c r="B23" s="160"/>
      <c r="D23" s="307"/>
      <c r="E23" s="238"/>
      <c r="F23" s="239"/>
      <c r="H23" s="164"/>
      <c r="J23" s="165"/>
      <c r="K23" s="166"/>
      <c r="M23" s="501"/>
      <c r="N23" s="501"/>
    </row>
    <row r="24" spans="1:17" s="161" customFormat="1" x14ac:dyDescent="0.25">
      <c r="A24" s="159"/>
      <c r="B24" s="160"/>
      <c r="D24" s="162"/>
      <c r="E24" s="163"/>
      <c r="H24" s="164"/>
      <c r="J24" s="165"/>
      <c r="K24" s="166"/>
      <c r="M24" s="501"/>
      <c r="N24" s="501"/>
    </row>
    <row r="25" spans="1:17" s="98" customFormat="1" x14ac:dyDescent="0.25">
      <c r="A25" s="15"/>
      <c r="B25" s="87"/>
      <c r="C25" s="80"/>
      <c r="D25" s="115"/>
      <c r="E25" s="116"/>
      <c r="G25" s="117"/>
      <c r="H25" s="80"/>
      <c r="J25" s="152"/>
      <c r="K25" s="153"/>
      <c r="L25" s="117"/>
      <c r="M25" s="500"/>
      <c r="N25" s="500"/>
      <c r="O25" s="117"/>
      <c r="P25" s="117"/>
      <c r="Q25" s="117"/>
    </row>
    <row r="26" spans="1:17" s="98" customFormat="1" x14ac:dyDescent="0.25">
      <c r="A26" s="15"/>
      <c r="B26" s="87"/>
      <c r="C26" s="80"/>
      <c r="D26" s="115"/>
      <c r="E26" s="116"/>
      <c r="G26" s="117"/>
      <c r="H26" s="80"/>
      <c r="K26" s="114" t="s">
        <v>144</v>
      </c>
      <c r="L26" s="117"/>
      <c r="M26" s="500"/>
      <c r="N26" s="500"/>
      <c r="O26" s="117"/>
      <c r="P26" s="117"/>
      <c r="Q26" s="117"/>
    </row>
    <row r="27" spans="1:17" s="98" customFormat="1" x14ac:dyDescent="0.25">
      <c r="A27" s="15"/>
      <c r="B27" s="121"/>
      <c r="C27" s="80"/>
      <c r="D27" s="115"/>
      <c r="E27" s="116"/>
      <c r="G27" s="117"/>
      <c r="H27" s="118">
        <f>ROUNDUP(F33,0)</f>
        <v>1838</v>
      </c>
      <c r="I27" s="119" t="s">
        <v>201</v>
      </c>
      <c r="J27" s="87">
        <f>F33*B7</f>
        <v>475.05500000000001</v>
      </c>
      <c r="K27" s="120">
        <f>+F33*G7</f>
        <v>689.43000000000006</v>
      </c>
      <c r="L27" s="117"/>
      <c r="M27" s="500"/>
      <c r="N27" s="500"/>
      <c r="O27" s="117"/>
      <c r="P27" s="117"/>
      <c r="Q27" s="117"/>
    </row>
    <row r="28" spans="1:17" s="125" customFormat="1" ht="31.5" x14ac:dyDescent="0.25">
      <c r="A28" s="653" t="s">
        <v>266</v>
      </c>
      <c r="B28" s="148" t="s">
        <v>199</v>
      </c>
      <c r="C28" s="149" t="s">
        <v>196</v>
      </c>
      <c r="D28" s="148" t="s">
        <v>197</v>
      </c>
      <c r="E28" s="122" t="s">
        <v>198</v>
      </c>
      <c r="F28" s="150" t="s">
        <v>188</v>
      </c>
      <c r="G28" s="124"/>
      <c r="H28" s="302">
        <v>0</v>
      </c>
      <c r="I28" s="62" t="s">
        <v>177</v>
      </c>
      <c r="J28" s="87">
        <f>+H28*45</f>
        <v>0</v>
      </c>
      <c r="K28" s="93">
        <f>H28*85</f>
        <v>0</v>
      </c>
      <c r="L28" s="124"/>
      <c r="M28" s="502"/>
      <c r="N28" s="502"/>
      <c r="O28" s="124"/>
      <c r="P28" s="124"/>
      <c r="Q28" s="124"/>
    </row>
    <row r="29" spans="1:17" s="81" customFormat="1" x14ac:dyDescent="0.25">
      <c r="A29" s="78" t="s">
        <v>108</v>
      </c>
      <c r="B29" s="199" t="s">
        <v>203</v>
      </c>
      <c r="C29" s="192">
        <v>2000</v>
      </c>
      <c r="D29" s="199">
        <v>37.5</v>
      </c>
      <c r="E29" s="145">
        <f>IF(B29="Daily",7, IF(B29="Weekly",1, IF(B29="Every Other Day",4,"")))</f>
        <v>7</v>
      </c>
      <c r="F29" s="146">
        <f>+D29*E29</f>
        <v>262.5</v>
      </c>
      <c r="G29" s="83"/>
      <c r="H29" s="80">
        <f>IF(E33&gt;=25, E33+2, E33+1)</f>
        <v>30</v>
      </c>
      <c r="I29" s="62" t="s">
        <v>217</v>
      </c>
      <c r="J29" s="87"/>
      <c r="K29" s="93"/>
      <c r="L29" s="83"/>
      <c r="M29" s="503"/>
      <c r="N29" s="503"/>
      <c r="O29" s="83"/>
      <c r="P29" s="83"/>
      <c r="Q29" s="83"/>
    </row>
    <row r="30" spans="1:17" s="81" customFormat="1" x14ac:dyDescent="0.25">
      <c r="A30" s="78" t="s">
        <v>109</v>
      </c>
      <c r="B30" s="199" t="s">
        <v>203</v>
      </c>
      <c r="C30" s="192">
        <v>4000</v>
      </c>
      <c r="D30" s="199">
        <v>75</v>
      </c>
      <c r="E30" s="147">
        <f>IF(B30="Daily",7, IF(B30="Weekly",1, IF(B30="Every Other Day",4,"")))</f>
        <v>7</v>
      </c>
      <c r="F30" s="146">
        <f t="shared" ref="F30:F32" si="1">+D30*E30</f>
        <v>525</v>
      </c>
      <c r="G30" s="83"/>
      <c r="H30" s="80">
        <f>ROUNDUP(F34,0)</f>
        <v>7</v>
      </c>
      <c r="I30" s="62" t="s">
        <v>190</v>
      </c>
      <c r="J30" s="87">
        <f>(H30-2)*0.6</f>
        <v>3</v>
      </c>
      <c r="K30" s="93">
        <f>(H30-2)</f>
        <v>5</v>
      </c>
      <c r="L30" s="83"/>
      <c r="M30" s="503"/>
      <c r="N30" s="503"/>
      <c r="O30" s="83"/>
      <c r="P30" s="83"/>
      <c r="Q30" s="83"/>
    </row>
    <row r="31" spans="1:17" s="81" customFormat="1" x14ac:dyDescent="0.25">
      <c r="A31" s="78" t="s">
        <v>110</v>
      </c>
      <c r="B31" s="199" t="s">
        <v>203</v>
      </c>
      <c r="C31" s="192">
        <v>4000</v>
      </c>
      <c r="D31" s="199">
        <v>75</v>
      </c>
      <c r="E31" s="147">
        <f>IF(B31="Daily",7, IF(B31="Weekly",1, IF(B31="Every Other Day",4,"")))</f>
        <v>7</v>
      </c>
      <c r="F31" s="146">
        <f t="shared" si="1"/>
        <v>525</v>
      </c>
      <c r="G31" s="83"/>
      <c r="H31" s="80">
        <f>H29</f>
        <v>30</v>
      </c>
      <c r="I31" s="62" t="s">
        <v>200</v>
      </c>
      <c r="J31" s="87"/>
      <c r="K31" s="93"/>
      <c r="L31" s="83"/>
      <c r="M31" s="503"/>
      <c r="N31" s="503"/>
      <c r="O31" s="83"/>
      <c r="P31" s="83"/>
      <c r="Q31" s="83"/>
    </row>
    <row r="32" spans="1:17" s="81" customFormat="1" x14ac:dyDescent="0.25">
      <c r="A32" s="100" t="s">
        <v>141</v>
      </c>
      <c r="B32" s="101" t="s">
        <v>203</v>
      </c>
      <c r="C32" s="102">
        <v>4000</v>
      </c>
      <c r="D32" s="101">
        <v>75</v>
      </c>
      <c r="E32" s="144">
        <f>IF(B32="Daily",7, IF(B32="Weekly",1, IF(B32="Every Other Day",4,"")))</f>
        <v>7</v>
      </c>
      <c r="F32" s="103">
        <f t="shared" si="1"/>
        <v>525</v>
      </c>
      <c r="G32" s="83"/>
      <c r="H32" s="303">
        <v>1</v>
      </c>
      <c r="I32" s="71" t="s">
        <v>192</v>
      </c>
      <c r="J32" s="142">
        <f>H32*3.65</f>
        <v>3.65</v>
      </c>
      <c r="K32" s="143"/>
      <c r="L32" s="83"/>
      <c r="M32" s="503"/>
      <c r="N32" s="503"/>
      <c r="O32" s="83"/>
      <c r="P32" s="83"/>
      <c r="Q32" s="83"/>
    </row>
    <row r="33" spans="1:17" s="81" customFormat="1" x14ac:dyDescent="0.25">
      <c r="A33" s="88"/>
      <c r="B33" s="79"/>
      <c r="C33" s="80"/>
      <c r="D33" s="82"/>
      <c r="E33" s="167">
        <f>SUM(E29:E32)</f>
        <v>28</v>
      </c>
      <c r="F33" s="127">
        <f>SUM(F29:F32)</f>
        <v>1837.5</v>
      </c>
      <c r="G33" s="83"/>
      <c r="H33" s="80"/>
      <c r="J33" s="128">
        <f>SUM(J27:J32)</f>
        <v>481.70499999999998</v>
      </c>
      <c r="K33" s="129">
        <f>ROUNDUP(SUM(K27:K32),0)</f>
        <v>695</v>
      </c>
      <c r="L33" s="83"/>
      <c r="M33" s="427" t="s">
        <v>202</v>
      </c>
      <c r="N33" s="428">
        <f>+K33-J33</f>
        <v>213.29500000000002</v>
      </c>
      <c r="O33" s="83"/>
      <c r="P33" s="83"/>
      <c r="Q33" s="83"/>
    </row>
    <row r="34" spans="1:17" s="81" customFormat="1" x14ac:dyDescent="0.25">
      <c r="A34" s="88"/>
      <c r="B34" s="79"/>
      <c r="C34" s="80"/>
      <c r="D34" s="82"/>
      <c r="E34" s="89" t="s">
        <v>204</v>
      </c>
      <c r="F34" s="110">
        <f>+F33/300</f>
        <v>6.125</v>
      </c>
      <c r="G34" s="83"/>
      <c r="H34" s="80"/>
      <c r="I34" s="131" t="s">
        <v>189</v>
      </c>
      <c r="J34" s="113">
        <f>+J33/H27</f>
        <v>0.2620810663764962</v>
      </c>
      <c r="K34" s="112">
        <f>+K33/H27</f>
        <v>0.3781284004352557</v>
      </c>
      <c r="L34" s="83"/>
      <c r="M34" s="503"/>
      <c r="N34" s="503"/>
      <c r="O34" s="83"/>
      <c r="P34" s="83"/>
      <c r="Q34" s="83"/>
    </row>
    <row r="35" spans="1:17" s="81" customFormat="1" x14ac:dyDescent="0.25">
      <c r="A35" s="88"/>
      <c r="B35" s="79"/>
      <c r="C35" s="80"/>
      <c r="D35" s="82"/>
      <c r="E35" s="109"/>
      <c r="G35" s="83"/>
      <c r="H35" s="80"/>
      <c r="I35" s="131"/>
      <c r="J35" s="131"/>
      <c r="K35" s="131"/>
      <c r="L35" s="83"/>
      <c r="M35" s="503"/>
      <c r="N35" s="503"/>
      <c r="O35" s="83"/>
      <c r="P35" s="83"/>
      <c r="Q35" s="83"/>
    </row>
    <row r="36" spans="1:17" s="107" customFormat="1" x14ac:dyDescent="0.25">
      <c r="A36" s="104"/>
      <c r="B36" s="105"/>
      <c r="C36" s="106"/>
      <c r="D36" s="108"/>
      <c r="E36" s="151"/>
      <c r="H36" s="106"/>
      <c r="M36" s="504"/>
      <c r="N36" s="504"/>
    </row>
    <row r="37" spans="1:17" s="98" customFormat="1" x14ac:dyDescent="0.25">
      <c r="A37" s="15"/>
      <c r="B37" s="87"/>
      <c r="C37" s="80"/>
      <c r="D37" s="115"/>
      <c r="E37" s="116"/>
      <c r="G37" s="117"/>
      <c r="H37" s="80"/>
      <c r="J37" s="152"/>
      <c r="K37" s="153"/>
      <c r="L37" s="117"/>
      <c r="M37" s="500"/>
      <c r="N37" s="500"/>
      <c r="O37" s="117"/>
      <c r="P37" s="117"/>
      <c r="Q37" s="117"/>
    </row>
    <row r="38" spans="1:17" s="98" customFormat="1" x14ac:dyDescent="0.25">
      <c r="A38" s="15"/>
      <c r="B38" s="87"/>
      <c r="C38" s="80"/>
      <c r="D38" s="115"/>
      <c r="E38" s="116"/>
      <c r="G38" s="117"/>
      <c r="H38" s="80"/>
      <c r="K38" s="114" t="s">
        <v>144</v>
      </c>
      <c r="L38" s="117"/>
      <c r="M38" s="500"/>
      <c r="N38" s="500"/>
      <c r="O38" s="117"/>
      <c r="P38" s="117"/>
      <c r="Q38" s="117"/>
    </row>
    <row r="39" spans="1:17" s="98" customFormat="1" x14ac:dyDescent="0.25">
      <c r="A39" s="15"/>
      <c r="B39" s="121"/>
      <c r="C39" s="80"/>
      <c r="D39" s="115"/>
      <c r="E39" s="116"/>
      <c r="G39" s="117"/>
      <c r="H39" s="118">
        <f>ROUNDUP(F45,0)</f>
        <v>2100</v>
      </c>
      <c r="I39" s="119" t="s">
        <v>201</v>
      </c>
      <c r="J39" s="87">
        <f>+B7*F45</f>
        <v>542.91999999999996</v>
      </c>
      <c r="K39" s="120">
        <f>+F45*G7</f>
        <v>787.92000000000007</v>
      </c>
      <c r="L39" s="117"/>
      <c r="M39" s="500"/>
      <c r="N39" s="500"/>
      <c r="O39" s="117"/>
      <c r="P39" s="117"/>
      <c r="Q39" s="117"/>
    </row>
    <row r="40" spans="1:17" s="125" customFormat="1" ht="31.5" x14ac:dyDescent="0.25">
      <c r="A40" s="653" t="s">
        <v>268</v>
      </c>
      <c r="B40" s="148" t="s">
        <v>199</v>
      </c>
      <c r="C40" s="149" t="s">
        <v>196</v>
      </c>
      <c r="D40" s="148" t="s">
        <v>197</v>
      </c>
      <c r="E40" s="122" t="s">
        <v>198</v>
      </c>
      <c r="F40" s="150" t="s">
        <v>188</v>
      </c>
      <c r="G40" s="124"/>
      <c r="H40" s="302">
        <v>0</v>
      </c>
      <c r="I40" s="62" t="s">
        <v>177</v>
      </c>
      <c r="J40" s="87">
        <f>+H40*45</f>
        <v>0</v>
      </c>
      <c r="K40" s="93">
        <f>+H40*85</f>
        <v>0</v>
      </c>
      <c r="L40" s="124"/>
      <c r="M40" s="502"/>
      <c r="N40" s="502"/>
      <c r="O40" s="124"/>
      <c r="P40" s="124"/>
      <c r="Q40" s="124"/>
    </row>
    <row r="41" spans="1:17" s="81" customFormat="1" x14ac:dyDescent="0.25">
      <c r="A41" s="78" t="s">
        <v>207</v>
      </c>
      <c r="B41" s="199" t="s">
        <v>203</v>
      </c>
      <c r="C41" s="192">
        <v>4000</v>
      </c>
      <c r="D41" s="199">
        <v>75</v>
      </c>
      <c r="E41" s="145">
        <f>IF(B41="Daily",7, IF(B41="Weekly",1, IF(B41="Every Other Day",4,"")))</f>
        <v>7</v>
      </c>
      <c r="F41" s="146">
        <f>+D41*E41</f>
        <v>525</v>
      </c>
      <c r="G41" s="83"/>
      <c r="H41" s="80">
        <f>IF(E45&gt;=25, E45+2, E45+1)</f>
        <v>30</v>
      </c>
      <c r="I41" s="62" t="s">
        <v>217</v>
      </c>
      <c r="J41" s="87"/>
      <c r="K41" s="93"/>
      <c r="L41" s="83"/>
      <c r="M41" s="503"/>
      <c r="N41" s="503"/>
      <c r="O41" s="83"/>
      <c r="P41" s="83"/>
      <c r="Q41" s="83"/>
    </row>
    <row r="42" spans="1:17" s="81" customFormat="1" x14ac:dyDescent="0.25">
      <c r="A42" s="78" t="s">
        <v>208</v>
      </c>
      <c r="B42" s="199" t="s">
        <v>203</v>
      </c>
      <c r="C42" s="192">
        <v>4000</v>
      </c>
      <c r="D42" s="199">
        <v>75</v>
      </c>
      <c r="E42" s="147">
        <f>IF(B42="Daily",7, IF(B42="Weekly",1, IF(B42="Every Other Day",4,"")))</f>
        <v>7</v>
      </c>
      <c r="F42" s="146">
        <f t="shared" ref="F42:F44" si="2">+D42*E42</f>
        <v>525</v>
      </c>
      <c r="G42" s="83"/>
      <c r="H42" s="80">
        <f>ROUNDUP(F46,0)</f>
        <v>7</v>
      </c>
      <c r="I42" s="62" t="s">
        <v>190</v>
      </c>
      <c r="J42" s="87">
        <f>H42*0.6</f>
        <v>4.2</v>
      </c>
      <c r="K42" s="93">
        <f>+H42</f>
        <v>7</v>
      </c>
      <c r="L42" s="83"/>
      <c r="M42" s="503"/>
      <c r="N42" s="503"/>
      <c r="O42" s="83"/>
      <c r="P42" s="83"/>
      <c r="Q42" s="83"/>
    </row>
    <row r="43" spans="1:17" s="81" customFormat="1" x14ac:dyDescent="0.25">
      <c r="A43" s="78" t="s">
        <v>209</v>
      </c>
      <c r="B43" s="199" t="s">
        <v>203</v>
      </c>
      <c r="C43" s="192">
        <v>4000</v>
      </c>
      <c r="D43" s="199">
        <v>75</v>
      </c>
      <c r="E43" s="147">
        <f>IF(B43="Daily",7, IF(B43="Weekly",1, IF(B43="Every Other Day",4,"")))</f>
        <v>7</v>
      </c>
      <c r="F43" s="146">
        <f t="shared" si="2"/>
        <v>525</v>
      </c>
      <c r="G43" s="83"/>
      <c r="H43" s="80">
        <f>H41</f>
        <v>30</v>
      </c>
      <c r="I43" s="62" t="s">
        <v>200</v>
      </c>
      <c r="J43" s="87"/>
      <c r="K43" s="93"/>
      <c r="L43" s="83"/>
      <c r="M43" s="503"/>
      <c r="N43" s="503"/>
      <c r="O43" s="83"/>
      <c r="P43" s="83"/>
      <c r="Q43" s="83"/>
    </row>
    <row r="44" spans="1:17" s="81" customFormat="1" x14ac:dyDescent="0.25">
      <c r="A44" s="100" t="s">
        <v>210</v>
      </c>
      <c r="B44" s="101" t="s">
        <v>203</v>
      </c>
      <c r="C44" s="102">
        <v>4000</v>
      </c>
      <c r="D44" s="101">
        <v>75</v>
      </c>
      <c r="E44" s="144">
        <f>IF(B44="Daily",7, IF(B44="Weekly",1, IF(B44="Every Other Day",4,"")))</f>
        <v>7</v>
      </c>
      <c r="F44" s="103">
        <f t="shared" si="2"/>
        <v>525</v>
      </c>
      <c r="G44" s="83"/>
      <c r="H44" s="303">
        <v>0</v>
      </c>
      <c r="I44" s="71" t="s">
        <v>192</v>
      </c>
      <c r="J44" s="142">
        <f>H44*3.65</f>
        <v>0</v>
      </c>
      <c r="K44" s="143"/>
      <c r="L44" s="83"/>
      <c r="M44" s="503"/>
      <c r="N44" s="503"/>
      <c r="O44" s="83"/>
      <c r="P44" s="83"/>
      <c r="Q44" s="83"/>
    </row>
    <row r="45" spans="1:17" s="81" customFormat="1" x14ac:dyDescent="0.25">
      <c r="A45" s="88"/>
      <c r="B45" s="79"/>
      <c r="C45" s="80"/>
      <c r="D45" s="82"/>
      <c r="E45" s="167">
        <f>SUM(E41:E44)</f>
        <v>28</v>
      </c>
      <c r="F45" s="127">
        <f>SUM(F41:F44)</f>
        <v>2100</v>
      </c>
      <c r="G45" s="83"/>
      <c r="H45" s="80"/>
      <c r="J45" s="128">
        <f>SUM(J39:J44)</f>
        <v>547.12</v>
      </c>
      <c r="K45" s="129">
        <f>ROUNDUP(SUM(K39:K44),0)</f>
        <v>795</v>
      </c>
      <c r="L45" s="83"/>
      <c r="M45" s="427" t="s">
        <v>202</v>
      </c>
      <c r="N45" s="428">
        <f>+K45-J45</f>
        <v>247.88</v>
      </c>
      <c r="O45" s="83"/>
      <c r="P45" s="83"/>
      <c r="Q45" s="83"/>
    </row>
    <row r="46" spans="1:17" s="81" customFormat="1" x14ac:dyDescent="0.25">
      <c r="A46" s="88"/>
      <c r="B46" s="79"/>
      <c r="C46" s="80"/>
      <c r="D46" s="82"/>
      <c r="E46" s="89" t="s">
        <v>204</v>
      </c>
      <c r="F46" s="110">
        <f>+F45/300</f>
        <v>7</v>
      </c>
      <c r="G46" s="83"/>
      <c r="H46" s="80"/>
      <c r="I46" s="131" t="s">
        <v>189</v>
      </c>
      <c r="J46" s="113">
        <f>+J45/H39</f>
        <v>0.26053333333333334</v>
      </c>
      <c r="K46" s="112">
        <f>+K45/H39</f>
        <v>0.37857142857142856</v>
      </c>
      <c r="L46" s="83"/>
      <c r="M46" s="503"/>
      <c r="N46" s="503"/>
      <c r="O46" s="83"/>
      <c r="P46" s="83"/>
      <c r="Q46" s="83"/>
    </row>
    <row r="47" spans="1:17" s="81" customFormat="1" x14ac:dyDescent="0.25">
      <c r="A47" s="88"/>
      <c r="B47" s="79"/>
      <c r="C47" s="80"/>
      <c r="D47" s="82"/>
      <c r="E47" s="109"/>
      <c r="G47" s="83"/>
      <c r="H47" s="80"/>
      <c r="I47" s="131"/>
      <c r="J47" s="131"/>
      <c r="L47" s="83"/>
      <c r="M47" s="503"/>
      <c r="N47" s="503"/>
      <c r="O47" s="83"/>
      <c r="P47" s="83"/>
      <c r="Q47" s="83"/>
    </row>
    <row r="48" spans="1:17" s="107" customFormat="1" x14ac:dyDescent="0.25">
      <c r="A48" s="104"/>
      <c r="B48" s="105"/>
      <c r="C48" s="106"/>
      <c r="D48" s="108"/>
      <c r="E48" s="151"/>
      <c r="H48" s="106"/>
      <c r="M48" s="504"/>
      <c r="N48" s="504"/>
    </row>
    <row r="49" spans="1:17" s="98" customFormat="1" x14ac:dyDescent="0.25">
      <c r="A49" s="15"/>
      <c r="B49" s="87"/>
      <c r="C49" s="80"/>
      <c r="D49" s="115"/>
      <c r="E49" s="116"/>
      <c r="G49" s="117"/>
      <c r="H49" s="80"/>
      <c r="J49" s="152"/>
      <c r="K49" s="153"/>
      <c r="L49" s="117"/>
      <c r="M49" s="500"/>
      <c r="N49" s="500"/>
      <c r="O49" s="117"/>
      <c r="P49" s="117"/>
      <c r="Q49" s="117"/>
    </row>
    <row r="50" spans="1:17" s="98" customFormat="1" x14ac:dyDescent="0.25">
      <c r="A50" s="15"/>
      <c r="B50" s="87"/>
      <c r="C50" s="80"/>
      <c r="D50" s="115"/>
      <c r="E50" s="116"/>
      <c r="G50" s="117"/>
      <c r="H50" s="80"/>
      <c r="K50" s="114" t="s">
        <v>144</v>
      </c>
      <c r="L50" s="117"/>
      <c r="M50" s="500"/>
      <c r="N50" s="500"/>
      <c r="O50" s="117"/>
      <c r="P50" s="117"/>
      <c r="Q50" s="117"/>
    </row>
    <row r="51" spans="1:17" s="98" customFormat="1" x14ac:dyDescent="0.25">
      <c r="A51" s="15"/>
      <c r="B51" s="121"/>
      <c r="C51" s="80"/>
      <c r="D51" s="115"/>
      <c r="E51" s="116"/>
      <c r="G51" s="117"/>
      <c r="H51" s="118">
        <f>ROUNDUP(F57,0)</f>
        <v>2100</v>
      </c>
      <c r="I51" s="119" t="s">
        <v>201</v>
      </c>
      <c r="J51" s="87">
        <f>+B7*F57</f>
        <v>542.91999999999996</v>
      </c>
      <c r="K51" s="120">
        <f>+F57*G7</f>
        <v>787.92000000000007</v>
      </c>
      <c r="L51" s="117"/>
      <c r="M51" s="500"/>
      <c r="N51" s="500"/>
      <c r="O51" s="117"/>
      <c r="P51" s="117"/>
      <c r="Q51" s="117"/>
    </row>
    <row r="52" spans="1:17" s="125" customFormat="1" ht="31.5" x14ac:dyDescent="0.25">
      <c r="A52" s="653" t="s">
        <v>269</v>
      </c>
      <c r="B52" s="148" t="s">
        <v>199</v>
      </c>
      <c r="C52" s="149" t="s">
        <v>196</v>
      </c>
      <c r="D52" s="148" t="s">
        <v>197</v>
      </c>
      <c r="E52" s="122" t="s">
        <v>198</v>
      </c>
      <c r="F52" s="150" t="s">
        <v>188</v>
      </c>
      <c r="G52" s="124"/>
      <c r="H52" s="302">
        <v>0</v>
      </c>
      <c r="I52" s="62" t="s">
        <v>177</v>
      </c>
      <c r="J52" s="87">
        <f>+H52*45</f>
        <v>0</v>
      </c>
      <c r="K52" s="93">
        <f>+H52*85</f>
        <v>0</v>
      </c>
      <c r="L52" s="124"/>
      <c r="M52" s="502"/>
      <c r="N52" s="502"/>
      <c r="O52" s="124"/>
      <c r="P52" s="124"/>
      <c r="Q52" s="124"/>
    </row>
    <row r="53" spans="1:17" s="81" customFormat="1" x14ac:dyDescent="0.25">
      <c r="A53" s="193" t="s">
        <v>211</v>
      </c>
      <c r="B53" s="199" t="s">
        <v>203</v>
      </c>
      <c r="C53" s="192">
        <v>4000</v>
      </c>
      <c r="D53" s="199">
        <v>75</v>
      </c>
      <c r="E53" s="145">
        <f>IF(B53="Daily",7, IF(B53="Weekly",1, IF(B53="Every Other Day",4,"")))</f>
        <v>7</v>
      </c>
      <c r="F53" s="146">
        <f>+D53*E53</f>
        <v>525</v>
      </c>
      <c r="G53" s="83"/>
      <c r="H53" s="80">
        <f>IF(E57&gt;=25, E57+2, E57+1)</f>
        <v>30</v>
      </c>
      <c r="I53" s="62" t="s">
        <v>217</v>
      </c>
      <c r="J53" s="87"/>
      <c r="K53" s="93"/>
      <c r="L53" s="83"/>
      <c r="M53" s="503"/>
      <c r="N53" s="503"/>
      <c r="O53" s="83"/>
      <c r="P53" s="83"/>
      <c r="Q53" s="83"/>
    </row>
    <row r="54" spans="1:17" s="81" customFormat="1" x14ac:dyDescent="0.25">
      <c r="A54" s="193" t="s">
        <v>212</v>
      </c>
      <c r="B54" s="199" t="s">
        <v>203</v>
      </c>
      <c r="C54" s="192">
        <v>4000</v>
      </c>
      <c r="D54" s="199">
        <v>75</v>
      </c>
      <c r="E54" s="147">
        <f>IF(B54="Daily",7, IF(B54="Weekly",1, IF(B54="Every Other Day",4,"")))</f>
        <v>7</v>
      </c>
      <c r="F54" s="146">
        <f t="shared" ref="F54:F56" si="3">+D54*E54</f>
        <v>525</v>
      </c>
      <c r="G54" s="83"/>
      <c r="H54" s="80">
        <f>ROUNDUP(F58,0)</f>
        <v>7</v>
      </c>
      <c r="I54" s="62" t="s">
        <v>190</v>
      </c>
      <c r="J54" s="87">
        <f>H54*0.6</f>
        <v>4.2</v>
      </c>
      <c r="K54" s="93">
        <f>+H54</f>
        <v>7</v>
      </c>
      <c r="L54" s="83"/>
      <c r="M54" s="503"/>
      <c r="N54" s="503"/>
      <c r="O54" s="83"/>
      <c r="P54" s="83"/>
      <c r="Q54" s="83"/>
    </row>
    <row r="55" spans="1:17" s="81" customFormat="1" x14ac:dyDescent="0.25">
      <c r="A55" s="193" t="s">
        <v>213</v>
      </c>
      <c r="B55" s="199" t="s">
        <v>203</v>
      </c>
      <c r="C55" s="192">
        <v>4000</v>
      </c>
      <c r="D55" s="199">
        <v>75</v>
      </c>
      <c r="E55" s="147">
        <f>IF(B55="Daily",7, IF(B55="Weekly",1, IF(B55="Every Other Day",4,"")))</f>
        <v>7</v>
      </c>
      <c r="F55" s="146">
        <f t="shared" si="3"/>
        <v>525</v>
      </c>
      <c r="G55" s="83"/>
      <c r="H55" s="80">
        <f>H53</f>
        <v>30</v>
      </c>
      <c r="I55" s="62" t="s">
        <v>200</v>
      </c>
      <c r="J55" s="87"/>
      <c r="K55" s="93"/>
      <c r="L55" s="83"/>
      <c r="M55" s="503"/>
      <c r="N55" s="503"/>
      <c r="O55" s="83"/>
      <c r="P55" s="83"/>
      <c r="Q55" s="83"/>
    </row>
    <row r="56" spans="1:17" s="81" customFormat="1" x14ac:dyDescent="0.25">
      <c r="A56" s="195" t="s">
        <v>214</v>
      </c>
      <c r="B56" s="101" t="s">
        <v>203</v>
      </c>
      <c r="C56" s="102">
        <v>4000</v>
      </c>
      <c r="D56" s="101">
        <v>75</v>
      </c>
      <c r="E56" s="144">
        <f>IF(B56="Daily",7, IF(B56="Weekly",1, IF(B56="Every Other Day",4,"")))</f>
        <v>7</v>
      </c>
      <c r="F56" s="103">
        <f t="shared" si="3"/>
        <v>525</v>
      </c>
      <c r="G56" s="83"/>
      <c r="H56" s="303">
        <v>0</v>
      </c>
      <c r="I56" s="71" t="s">
        <v>192</v>
      </c>
      <c r="J56" s="142">
        <f>H56*3.65</f>
        <v>0</v>
      </c>
      <c r="K56" s="143"/>
      <c r="L56" s="83"/>
      <c r="M56" s="503"/>
      <c r="N56" s="503"/>
      <c r="O56" s="83"/>
      <c r="P56" s="83"/>
      <c r="Q56" s="83"/>
    </row>
    <row r="57" spans="1:17" s="81" customFormat="1" x14ac:dyDescent="0.25">
      <c r="A57" s="88"/>
      <c r="B57" s="79"/>
      <c r="C57" s="80"/>
      <c r="D57" s="82"/>
      <c r="E57" s="167">
        <f>SUM(E53:E56)</f>
        <v>28</v>
      </c>
      <c r="F57" s="127">
        <f>SUM(F53:F56)</f>
        <v>2100</v>
      </c>
      <c r="G57" s="83"/>
      <c r="H57" s="80"/>
      <c r="J57" s="128">
        <f>SUM(J51:J56)</f>
        <v>547.12</v>
      </c>
      <c r="K57" s="129">
        <f>ROUNDUP(SUM(K51:K56),0)</f>
        <v>795</v>
      </c>
      <c r="L57" s="83"/>
      <c r="M57" s="427" t="s">
        <v>202</v>
      </c>
      <c r="N57" s="428">
        <f>+K57-J57</f>
        <v>247.88</v>
      </c>
      <c r="O57" s="83"/>
      <c r="P57" s="83"/>
      <c r="Q57" s="83"/>
    </row>
    <row r="58" spans="1:17" s="81" customFormat="1" x14ac:dyDescent="0.25">
      <c r="A58" s="88"/>
      <c r="B58" s="79"/>
      <c r="C58" s="80"/>
      <c r="D58" s="82"/>
      <c r="E58" s="89" t="s">
        <v>204</v>
      </c>
      <c r="F58" s="110">
        <f>+F57/300</f>
        <v>7</v>
      </c>
      <c r="G58" s="83"/>
      <c r="H58" s="80"/>
      <c r="I58" s="131" t="s">
        <v>189</v>
      </c>
      <c r="J58" s="113">
        <f>+J57/H51</f>
        <v>0.26053333333333334</v>
      </c>
      <c r="K58" s="112">
        <f>+K57/H51</f>
        <v>0.37857142857142856</v>
      </c>
      <c r="L58" s="83"/>
      <c r="M58" s="503"/>
      <c r="N58" s="503"/>
      <c r="O58" s="83"/>
      <c r="P58" s="83"/>
      <c r="Q58" s="83"/>
    </row>
    <row r="59" spans="1:17" s="81" customFormat="1" x14ac:dyDescent="0.25">
      <c r="A59" s="88"/>
      <c r="B59" s="79"/>
      <c r="C59" s="80"/>
      <c r="D59" s="82"/>
      <c r="E59" s="89"/>
      <c r="F59" s="110"/>
      <c r="G59" s="83"/>
      <c r="H59" s="80"/>
      <c r="I59" s="131"/>
      <c r="J59" s="113"/>
      <c r="K59" s="112"/>
      <c r="L59" s="83"/>
      <c r="M59" s="503"/>
      <c r="N59" s="503"/>
      <c r="O59" s="83"/>
      <c r="P59" s="83"/>
      <c r="Q59" s="83"/>
    </row>
    <row r="60" spans="1:17" s="107" customFormat="1" x14ac:dyDescent="0.25">
      <c r="A60" s="104"/>
      <c r="B60" s="105"/>
      <c r="C60" s="106"/>
      <c r="D60" s="108"/>
      <c r="E60" s="151"/>
      <c r="H60" s="106"/>
      <c r="M60" s="504"/>
      <c r="N60" s="504"/>
    </row>
    <row r="61" spans="1:17" s="98" customFormat="1" x14ac:dyDescent="0.25">
      <c r="A61" s="15"/>
      <c r="B61" s="87"/>
      <c r="C61" s="80"/>
      <c r="D61" s="115"/>
      <c r="E61" s="116"/>
      <c r="G61" s="117"/>
      <c r="H61" s="80"/>
      <c r="J61" s="152"/>
      <c r="K61" s="153"/>
      <c r="L61" s="117"/>
      <c r="M61" s="500"/>
      <c r="N61" s="500"/>
      <c r="O61" s="117"/>
      <c r="P61" s="117"/>
      <c r="Q61" s="117"/>
    </row>
    <row r="62" spans="1:17" s="98" customFormat="1" x14ac:dyDescent="0.25">
      <c r="A62" s="15"/>
      <c r="B62" s="87"/>
      <c r="C62" s="80"/>
      <c r="D62" s="115"/>
      <c r="E62" s="116"/>
      <c r="G62" s="117"/>
      <c r="H62" s="80"/>
      <c r="K62" s="114" t="s">
        <v>144</v>
      </c>
      <c r="L62" s="117"/>
      <c r="M62" s="500"/>
      <c r="N62" s="500"/>
      <c r="O62" s="117"/>
      <c r="P62" s="117"/>
      <c r="Q62" s="117"/>
    </row>
    <row r="63" spans="1:17" s="98" customFormat="1" x14ac:dyDescent="0.25">
      <c r="A63" s="15"/>
      <c r="B63" s="121"/>
      <c r="C63" s="80"/>
      <c r="D63" s="115"/>
      <c r="E63" s="116"/>
      <c r="G63" s="117"/>
      <c r="H63" s="118">
        <f>ROUNDUP(F69,0)</f>
        <v>2100</v>
      </c>
      <c r="I63" s="119" t="s">
        <v>201</v>
      </c>
      <c r="J63" s="87">
        <f>+B7*F69</f>
        <v>542.91999999999996</v>
      </c>
      <c r="K63" s="120">
        <f>+F69*G7</f>
        <v>787.92000000000007</v>
      </c>
      <c r="L63" s="117"/>
      <c r="M63" s="500"/>
      <c r="N63" s="500"/>
      <c r="O63" s="117"/>
      <c r="P63" s="117"/>
      <c r="Q63" s="117"/>
    </row>
    <row r="64" spans="1:17" s="125" customFormat="1" ht="31.5" x14ac:dyDescent="0.25">
      <c r="A64" s="653" t="s">
        <v>215</v>
      </c>
      <c r="B64" s="148" t="s">
        <v>199</v>
      </c>
      <c r="C64" s="149" t="s">
        <v>196</v>
      </c>
      <c r="D64" s="148" t="s">
        <v>197</v>
      </c>
      <c r="E64" s="122" t="s">
        <v>198</v>
      </c>
      <c r="F64" s="150" t="s">
        <v>188</v>
      </c>
      <c r="G64" s="124"/>
      <c r="H64" s="302">
        <v>0</v>
      </c>
      <c r="I64" s="62" t="s">
        <v>177</v>
      </c>
      <c r="J64" s="87">
        <f>+H64*45</f>
        <v>0</v>
      </c>
      <c r="K64" s="93">
        <f>+H64*85</f>
        <v>0</v>
      </c>
      <c r="L64" s="124"/>
      <c r="M64" s="502"/>
      <c r="N64" s="502"/>
      <c r="O64" s="124"/>
      <c r="P64" s="124"/>
      <c r="Q64" s="124"/>
    </row>
    <row r="65" spans="1:18" s="81" customFormat="1" x14ac:dyDescent="0.25">
      <c r="A65" s="193" t="s">
        <v>223</v>
      </c>
      <c r="B65" s="199" t="s">
        <v>203</v>
      </c>
      <c r="C65" s="192">
        <v>4000</v>
      </c>
      <c r="D65" s="199">
        <v>75</v>
      </c>
      <c r="E65" s="145">
        <f>IF(B65="Daily",7, IF(B65="Weekly",1, IF(B65="Every Other Day",4,"")))</f>
        <v>7</v>
      </c>
      <c r="F65" s="146">
        <f>+D65*E65</f>
        <v>525</v>
      </c>
      <c r="G65" s="83"/>
      <c r="H65" s="80">
        <f>IF(E69&gt;=25, E69+2, E69+1)</f>
        <v>30</v>
      </c>
      <c r="I65" s="62" t="s">
        <v>217</v>
      </c>
      <c r="J65" s="87"/>
      <c r="K65" s="93"/>
      <c r="L65" s="83"/>
      <c r="M65" s="503"/>
      <c r="N65" s="503"/>
      <c r="O65" s="83"/>
      <c r="P65" s="83"/>
      <c r="Q65" s="83"/>
    </row>
    <row r="66" spans="1:18" s="81" customFormat="1" x14ac:dyDescent="0.25">
      <c r="A66" s="193" t="s">
        <v>224</v>
      </c>
      <c r="B66" s="199" t="s">
        <v>203</v>
      </c>
      <c r="C66" s="192">
        <v>4000</v>
      </c>
      <c r="D66" s="199">
        <v>75</v>
      </c>
      <c r="E66" s="147">
        <f>IF(B66="Daily",7, IF(B66="Weekly",1, IF(B66="Every Other Day",4,"")))</f>
        <v>7</v>
      </c>
      <c r="F66" s="146">
        <f t="shared" ref="F66:F68" si="4">+D66*E66</f>
        <v>525</v>
      </c>
      <c r="G66" s="83"/>
      <c r="H66" s="80">
        <f>ROUNDUP(F70,0)</f>
        <v>7</v>
      </c>
      <c r="I66" s="62" t="s">
        <v>190</v>
      </c>
      <c r="J66" s="87">
        <f>H66*0.6</f>
        <v>4.2</v>
      </c>
      <c r="K66" s="93">
        <f>+H66</f>
        <v>7</v>
      </c>
      <c r="L66" s="83"/>
      <c r="M66" s="503"/>
      <c r="N66" s="503"/>
      <c r="O66" s="83"/>
      <c r="P66" s="83"/>
      <c r="Q66" s="83"/>
    </row>
    <row r="67" spans="1:18" s="81" customFormat="1" x14ac:dyDescent="0.25">
      <c r="A67" s="193" t="s">
        <v>225</v>
      </c>
      <c r="B67" s="199" t="s">
        <v>203</v>
      </c>
      <c r="C67" s="192">
        <v>4000</v>
      </c>
      <c r="D67" s="199">
        <v>75</v>
      </c>
      <c r="E67" s="147">
        <f>IF(B67="Daily",7, IF(B67="Weekly",1, IF(B67="Every Other Day",4,"")))</f>
        <v>7</v>
      </c>
      <c r="F67" s="146">
        <f t="shared" si="4"/>
        <v>525</v>
      </c>
      <c r="G67" s="83"/>
      <c r="H67" s="80">
        <f>H65</f>
        <v>30</v>
      </c>
      <c r="I67" s="62" t="s">
        <v>200</v>
      </c>
      <c r="J67" s="87"/>
      <c r="K67" s="93"/>
      <c r="L67" s="83"/>
      <c r="M67" s="503"/>
      <c r="N67" s="503"/>
      <c r="O67" s="83"/>
      <c r="P67" s="83"/>
      <c r="Q67" s="83"/>
    </row>
    <row r="68" spans="1:18" s="81" customFormat="1" x14ac:dyDescent="0.25">
      <c r="A68" s="195" t="s">
        <v>226</v>
      </c>
      <c r="B68" s="101" t="s">
        <v>203</v>
      </c>
      <c r="C68" s="102">
        <v>4000</v>
      </c>
      <c r="D68" s="101">
        <v>75</v>
      </c>
      <c r="E68" s="144">
        <f>IF(B68="Daily",7, IF(B68="Weekly",1, IF(B68="Every Other Day",4,"")))</f>
        <v>7</v>
      </c>
      <c r="F68" s="103">
        <f t="shared" si="4"/>
        <v>525</v>
      </c>
      <c r="G68" s="83"/>
      <c r="H68" s="303">
        <v>0</v>
      </c>
      <c r="I68" s="71" t="s">
        <v>192</v>
      </c>
      <c r="J68" s="142">
        <f>H68*3.65</f>
        <v>0</v>
      </c>
      <c r="K68" s="143"/>
      <c r="L68" s="83"/>
      <c r="M68" s="503"/>
      <c r="N68" s="503"/>
      <c r="O68" s="83"/>
      <c r="P68" s="83"/>
      <c r="Q68" s="83"/>
    </row>
    <row r="69" spans="1:18" s="81" customFormat="1" x14ac:dyDescent="0.25">
      <c r="A69" s="88"/>
      <c r="B69" s="79"/>
      <c r="C69" s="80"/>
      <c r="D69" s="82"/>
      <c r="E69" s="167">
        <f>SUM(E65:E68)</f>
        <v>28</v>
      </c>
      <c r="F69" s="127">
        <f>SUM(F65:F68)</f>
        <v>2100</v>
      </c>
      <c r="G69" s="83"/>
      <c r="H69" s="80"/>
      <c r="J69" s="128">
        <f>SUM(J63:J68)</f>
        <v>547.12</v>
      </c>
      <c r="K69" s="129">
        <f>ROUNDUP(SUM(K63:K68),0)</f>
        <v>795</v>
      </c>
      <c r="L69" s="83"/>
      <c r="M69" s="427" t="s">
        <v>202</v>
      </c>
      <c r="N69" s="428">
        <f>+K69-J69</f>
        <v>247.88</v>
      </c>
      <c r="O69" s="83"/>
      <c r="P69" s="83"/>
      <c r="Q69" s="83"/>
    </row>
    <row r="70" spans="1:18" s="81" customFormat="1" x14ac:dyDescent="0.25">
      <c r="A70" s="88"/>
      <c r="B70" s="79"/>
      <c r="C70" s="80"/>
      <c r="D70" s="82"/>
      <c r="E70" s="89" t="s">
        <v>204</v>
      </c>
      <c r="F70" s="110">
        <f>+F69/300</f>
        <v>7</v>
      </c>
      <c r="G70" s="83"/>
      <c r="H70" s="80"/>
      <c r="I70" s="131" t="s">
        <v>189</v>
      </c>
      <c r="J70" s="113">
        <f>+J69/H63</f>
        <v>0.26053333333333334</v>
      </c>
      <c r="K70" s="112">
        <f>+K69/H63</f>
        <v>0.37857142857142856</v>
      </c>
      <c r="L70" s="83"/>
      <c r="M70" s="503"/>
      <c r="N70" s="503"/>
      <c r="O70" s="83"/>
      <c r="P70" s="83"/>
      <c r="Q70" s="83"/>
    </row>
    <row r="71" spans="1:18" s="81" customFormat="1" x14ac:dyDescent="0.25">
      <c r="A71" s="88"/>
      <c r="B71" s="79"/>
      <c r="C71" s="80"/>
      <c r="E71" s="82"/>
      <c r="F71" s="109"/>
      <c r="G71" s="83"/>
      <c r="H71" s="83"/>
      <c r="I71" s="158"/>
      <c r="J71" s="131"/>
      <c r="K71" s="111"/>
      <c r="L71" s="112"/>
      <c r="M71" s="83"/>
      <c r="N71" s="503"/>
      <c r="O71" s="503"/>
      <c r="P71" s="83"/>
      <c r="Q71" s="83"/>
      <c r="R71" s="83"/>
    </row>
    <row r="72" spans="1:18" s="379" customFormat="1" x14ac:dyDescent="0.25">
      <c r="E72" s="380"/>
      <c r="G72" s="381"/>
      <c r="H72" s="382"/>
      <c r="I72" s="383"/>
      <c r="L72" s="141"/>
      <c r="N72" s="531"/>
      <c r="O72" s="506"/>
    </row>
    <row r="73" spans="1:18" s="379" customFormat="1" x14ac:dyDescent="0.25">
      <c r="D73" s="380"/>
      <c r="F73" s="141"/>
      <c r="G73" s="382"/>
      <c r="H73" s="383"/>
      <c r="K73" s="141"/>
      <c r="N73" s="506"/>
      <c r="O73" s="506"/>
    </row>
    <row r="74" spans="1:18" s="379" customFormat="1" x14ac:dyDescent="0.25">
      <c r="D74" s="380"/>
      <c r="F74" s="141"/>
      <c r="G74" s="382"/>
      <c r="H74" s="383"/>
      <c r="K74" s="141"/>
      <c r="N74" s="506"/>
      <c r="O74" s="506"/>
    </row>
    <row r="75" spans="1:18" s="379" customFormat="1" x14ac:dyDescent="0.25">
      <c r="D75" s="380"/>
      <c r="F75" s="141"/>
      <c r="G75" s="382"/>
      <c r="H75" s="383"/>
      <c r="K75" s="141"/>
      <c r="N75" s="506"/>
      <c r="O75" s="506"/>
    </row>
    <row r="76" spans="1:18" x14ac:dyDescent="0.25">
      <c r="D76" s="67"/>
      <c r="E76"/>
      <c r="F76" s="62"/>
      <c r="G76" s="13"/>
      <c r="H76" s="96"/>
      <c r="I76"/>
      <c r="K76" s="62"/>
      <c r="L76"/>
      <c r="M76" s="62"/>
      <c r="N76" s="507"/>
      <c r="O76" s="507"/>
    </row>
    <row r="77" spans="1:18" x14ac:dyDescent="0.25">
      <c r="A77" t="s">
        <v>351</v>
      </c>
      <c r="D77" s="67"/>
      <c r="E77" s="62"/>
      <c r="F77" s="62"/>
      <c r="G77" s="13"/>
      <c r="H77" s="96"/>
      <c r="I77" s="62"/>
      <c r="J77" s="62"/>
      <c r="K77" s="62"/>
      <c r="L77"/>
      <c r="N77" s="507"/>
      <c r="O77" s="507"/>
    </row>
    <row r="78" spans="1:18" ht="17.25" customHeight="1" x14ac:dyDescent="0.25">
      <c r="D78" s="532" t="s">
        <v>375</v>
      </c>
      <c r="E78" s="62"/>
      <c r="F78" s="62"/>
      <c r="G78" s="13"/>
      <c r="H78" s="96"/>
      <c r="I78" s="62"/>
      <c r="J78" s="62"/>
      <c r="K78" s="62"/>
      <c r="L78"/>
      <c r="N78" s="507"/>
      <c r="O78" s="507"/>
    </row>
    <row r="79" spans="1:18" s="61" customFormat="1" x14ac:dyDescent="0.25">
      <c r="A79" s="61" t="s">
        <v>368</v>
      </c>
      <c r="D79" s="61" t="s">
        <v>369</v>
      </c>
      <c r="E79" s="453"/>
      <c r="F79" s="453"/>
      <c r="G79" s="458"/>
      <c r="H79" s="459"/>
      <c r="I79" s="453"/>
      <c r="J79" s="453"/>
      <c r="K79" s="453"/>
      <c r="N79" s="563"/>
      <c r="O79" s="563"/>
    </row>
    <row r="80" spans="1:18" x14ac:dyDescent="0.25">
      <c r="B80" s="61"/>
      <c r="D80" s="67"/>
      <c r="E80" s="62" t="s">
        <v>366</v>
      </c>
      <c r="F80" s="461">
        <f>F45</f>
        <v>2100</v>
      </c>
      <c r="G80" s="13"/>
      <c r="H80" s="96"/>
      <c r="I80" s="62"/>
      <c r="J80" s="62"/>
      <c r="K80" s="62"/>
      <c r="L80"/>
      <c r="N80" s="507"/>
      <c r="O80" s="507"/>
    </row>
    <row r="81" spans="1:12" x14ac:dyDescent="0.25">
      <c r="A81" s="368" t="s">
        <v>364</v>
      </c>
      <c r="B81" s="460">
        <f>N45</f>
        <v>247.88</v>
      </c>
      <c r="D81" s="67"/>
      <c r="E81" s="71" t="s">
        <v>360</v>
      </c>
      <c r="F81" s="71">
        <v>10</v>
      </c>
      <c r="G81" s="13"/>
      <c r="H81" s="96"/>
      <c r="I81" s="62"/>
      <c r="J81" s="62"/>
      <c r="K81" s="62"/>
      <c r="L81"/>
    </row>
    <row r="82" spans="1:12" x14ac:dyDescent="0.25">
      <c r="D82" s="67"/>
      <c r="E82" s="62"/>
      <c r="F82" s="62">
        <f>+F81*F80</f>
        <v>21000</v>
      </c>
      <c r="G82" s="13" t="s">
        <v>367</v>
      </c>
      <c r="H82" s="96"/>
      <c r="I82" s="62"/>
      <c r="J82" s="62"/>
      <c r="K82" s="62"/>
      <c r="L82"/>
    </row>
    <row r="83" spans="1:12" x14ac:dyDescent="0.25">
      <c r="D83" s="67"/>
      <c r="E83" s="453" t="s">
        <v>361</v>
      </c>
      <c r="F83" s="453">
        <f>ROUNDUP((F82/300),0)</f>
        <v>70</v>
      </c>
      <c r="G83" s="13"/>
      <c r="H83" s="96"/>
      <c r="I83" s="62"/>
      <c r="J83" s="62"/>
      <c r="K83" s="62"/>
      <c r="L83"/>
    </row>
    <row r="84" spans="1:12" x14ac:dyDescent="0.25">
      <c r="D84" s="67"/>
      <c r="E84" s="62" t="s">
        <v>362</v>
      </c>
      <c r="F84" s="454">
        <f>+F5*F83</f>
        <v>2450</v>
      </c>
      <c r="G84" s="13"/>
      <c r="H84" s="96"/>
      <c r="I84" s="62"/>
      <c r="J84" s="62"/>
      <c r="K84" s="62"/>
      <c r="L84"/>
    </row>
    <row r="85" spans="1:12" x14ac:dyDescent="0.25">
      <c r="D85" s="67"/>
      <c r="E85" s="62"/>
      <c r="F85" s="62"/>
      <c r="G85" s="13"/>
      <c r="H85" s="96"/>
      <c r="I85" s="62"/>
      <c r="J85" s="62"/>
      <c r="K85" s="62"/>
      <c r="L85"/>
    </row>
    <row r="86" spans="1:12" x14ac:dyDescent="0.25">
      <c r="D86" s="455"/>
      <c r="E86" s="456" t="s">
        <v>363</v>
      </c>
      <c r="F86" s="457">
        <f>+F84/10</f>
        <v>245</v>
      </c>
      <c r="G86" s="13"/>
      <c r="H86" s="96"/>
      <c r="I86" s="62"/>
      <c r="J86" s="62"/>
      <c r="K86" s="62"/>
      <c r="L86"/>
    </row>
    <row r="90" spans="1:12" s="379" customFormat="1" x14ac:dyDescent="0.25">
      <c r="D90" s="380"/>
      <c r="E90" s="141"/>
      <c r="F90" s="141"/>
      <c r="G90" s="382"/>
      <c r="H90" s="383"/>
      <c r="I90" s="141"/>
      <c r="J90" s="141"/>
      <c r="K90" s="141"/>
    </row>
    <row r="91" spans="1:12" s="379" customFormat="1" x14ac:dyDescent="0.25">
      <c r="D91" s="380"/>
      <c r="E91" s="141"/>
      <c r="F91" s="141"/>
      <c r="G91" s="382"/>
      <c r="H91" s="383"/>
      <c r="I91" s="141"/>
      <c r="J91" s="141"/>
      <c r="K91" s="141"/>
    </row>
    <row r="92" spans="1:12" s="379" customFormat="1" x14ac:dyDescent="0.25">
      <c r="D92" s="380"/>
      <c r="E92" s="141"/>
      <c r="F92" s="141"/>
      <c r="G92" s="382"/>
      <c r="H92" s="383"/>
      <c r="I92" s="141"/>
      <c r="J92" s="141"/>
      <c r="K92" s="141"/>
    </row>
    <row r="93" spans="1:12" x14ac:dyDescent="0.25">
      <c r="D93" s="67"/>
      <c r="E93" s="62"/>
      <c r="F93" s="62"/>
      <c r="G93" s="13"/>
      <c r="H93" s="96"/>
      <c r="I93" s="62"/>
      <c r="J93" s="62"/>
      <c r="K93" s="62"/>
      <c r="L93"/>
    </row>
    <row r="94" spans="1:12" x14ac:dyDescent="0.25">
      <c r="D94" s="67"/>
      <c r="E94" s="62"/>
      <c r="F94" s="62"/>
      <c r="G94" s="13"/>
      <c r="H94" s="96"/>
      <c r="I94" s="62"/>
      <c r="J94" s="62"/>
      <c r="K94" s="62"/>
      <c r="L94"/>
    </row>
    <row r="95" spans="1:12" x14ac:dyDescent="0.25">
      <c r="A95" t="s">
        <v>387</v>
      </c>
      <c r="D95" s="67"/>
      <c r="E95" s="62"/>
      <c r="F95" s="62"/>
      <c r="G95" s="13"/>
      <c r="H95" t="s">
        <v>387</v>
      </c>
      <c r="I95"/>
      <c r="K95" s="67"/>
      <c r="L95"/>
    </row>
    <row r="96" spans="1:12" x14ac:dyDescent="0.25">
      <c r="A96" t="s">
        <v>388</v>
      </c>
      <c r="D96" s="67"/>
      <c r="E96" s="62"/>
      <c r="F96" s="62"/>
      <c r="G96" s="13"/>
      <c r="H96" s="64" t="s">
        <v>390</v>
      </c>
      <c r="I96"/>
      <c r="K96" s="67"/>
      <c r="L96"/>
    </row>
    <row r="97" spans="1:17" x14ac:dyDescent="0.25">
      <c r="D97" s="67"/>
      <c r="E97" s="62"/>
      <c r="F97" s="62"/>
      <c r="G97" s="13"/>
      <c r="H97"/>
      <c r="I97"/>
      <c r="K97" s="67"/>
      <c r="L97"/>
    </row>
    <row r="98" spans="1:17" x14ac:dyDescent="0.25">
      <c r="A98" s="587"/>
      <c r="B98" s="587" t="s">
        <v>389</v>
      </c>
      <c r="C98" s="64" t="s">
        <v>113</v>
      </c>
      <c r="D98" s="593" t="s">
        <v>202</v>
      </c>
      <c r="E98" s="588"/>
      <c r="F98" s="588"/>
      <c r="G98" s="589"/>
      <c r="H98" s="587"/>
      <c r="I98" s="587" t="s">
        <v>389</v>
      </c>
      <c r="J98" s="64" t="s">
        <v>113</v>
      </c>
      <c r="K98" s="593" t="s">
        <v>202</v>
      </c>
      <c r="L98" s="587"/>
      <c r="M98" s="587"/>
      <c r="N98" s="587"/>
      <c r="O98" s="587"/>
      <c r="P98" s="587"/>
      <c r="Q98" s="587"/>
    </row>
    <row r="99" spans="1:17" x14ac:dyDescent="0.25">
      <c r="A99" s="599">
        <v>0</v>
      </c>
      <c r="B99" s="66">
        <f>K45</f>
        <v>795</v>
      </c>
      <c r="C99" s="65">
        <f>J45</f>
        <v>547.12</v>
      </c>
      <c r="D99" s="603">
        <f>+B99-C99</f>
        <v>247.88</v>
      </c>
      <c r="E99" s="588"/>
      <c r="F99" s="588"/>
      <c r="G99" s="589"/>
      <c r="H99" s="599">
        <v>0</v>
      </c>
      <c r="I99" s="602">
        <f>K33</f>
        <v>695</v>
      </c>
      <c r="J99" s="600">
        <f>J33</f>
        <v>481.70499999999998</v>
      </c>
      <c r="K99" s="601">
        <f>+I99-J99</f>
        <v>213.29500000000002</v>
      </c>
      <c r="L99" s="587"/>
      <c r="M99" s="587"/>
      <c r="N99" s="587"/>
      <c r="O99" s="587"/>
      <c r="P99" s="587"/>
      <c r="Q99" s="587"/>
    </row>
    <row r="100" spans="1:17" x14ac:dyDescent="0.25">
      <c r="A100" s="596">
        <v>0.1</v>
      </c>
      <c r="B100" s="66">
        <f>0.9*B99</f>
        <v>715.5</v>
      </c>
      <c r="C100" s="65">
        <f>C99</f>
        <v>547.12</v>
      </c>
      <c r="D100" s="603">
        <f t="shared" ref="D100:D103" si="5">+B100-C100</f>
        <v>168.38</v>
      </c>
      <c r="E100" s="225"/>
      <c r="F100" s="225"/>
      <c r="G100" s="591"/>
      <c r="H100" s="596">
        <v>0.1</v>
      </c>
      <c r="I100" s="587">
        <f>0.9*I99</f>
        <v>625.5</v>
      </c>
      <c r="J100" s="600">
        <f>J99</f>
        <v>481.70499999999998</v>
      </c>
      <c r="K100" s="601">
        <f t="shared" ref="K100:K103" si="6">+I100-J100</f>
        <v>143.79500000000002</v>
      </c>
      <c r="L100" s="64"/>
      <c r="M100" s="64"/>
      <c r="N100" s="64"/>
      <c r="O100" s="64"/>
      <c r="P100" s="64"/>
      <c r="Q100" s="64"/>
    </row>
    <row r="101" spans="1:17" x14ac:dyDescent="0.25">
      <c r="A101" s="597">
        <v>0.15</v>
      </c>
      <c r="B101" s="66">
        <f>+B99*0.85</f>
        <v>675.75</v>
      </c>
      <c r="C101" s="65">
        <f t="shared" ref="C101:C103" si="7">C100</f>
        <v>547.12</v>
      </c>
      <c r="D101" s="603">
        <f t="shared" si="5"/>
        <v>128.63</v>
      </c>
      <c r="E101" s="498"/>
      <c r="F101" s="498"/>
      <c r="G101" s="594"/>
      <c r="H101" s="597">
        <v>0.15</v>
      </c>
      <c r="I101" s="587">
        <f>+I99*0.85</f>
        <v>590.75</v>
      </c>
      <c r="J101" s="600">
        <f t="shared" ref="J101:J103" si="8">J100</f>
        <v>481.70499999999998</v>
      </c>
      <c r="K101" s="601">
        <f t="shared" si="6"/>
        <v>109.04500000000002</v>
      </c>
      <c r="L101" s="507"/>
      <c r="M101" s="507"/>
      <c r="N101" s="507"/>
      <c r="O101" s="507"/>
      <c r="P101" s="507"/>
      <c r="Q101" s="507"/>
    </row>
    <row r="102" spans="1:17" x14ac:dyDescent="0.25">
      <c r="A102" s="598">
        <v>0.2</v>
      </c>
      <c r="B102" s="66">
        <f>0.8*B99</f>
        <v>636</v>
      </c>
      <c r="C102" s="65">
        <f t="shared" si="7"/>
        <v>547.12</v>
      </c>
      <c r="D102" s="604">
        <f t="shared" si="5"/>
        <v>88.88</v>
      </c>
      <c r="E102" s="62"/>
      <c r="F102" s="62"/>
      <c r="G102" s="13"/>
      <c r="H102" s="598">
        <v>0.2</v>
      </c>
      <c r="I102" s="587">
        <f>0.8*I99</f>
        <v>556</v>
      </c>
      <c r="J102" s="600">
        <f t="shared" si="8"/>
        <v>481.70499999999998</v>
      </c>
      <c r="K102" s="601">
        <f t="shared" si="6"/>
        <v>74.295000000000016</v>
      </c>
      <c r="L102"/>
    </row>
    <row r="103" spans="1:17" x14ac:dyDescent="0.25">
      <c r="A103" s="598">
        <v>0.25</v>
      </c>
      <c r="B103" s="66">
        <f>0.75*B99</f>
        <v>596.25</v>
      </c>
      <c r="C103" s="65">
        <f t="shared" si="7"/>
        <v>547.12</v>
      </c>
      <c r="D103" s="604">
        <f t="shared" si="5"/>
        <v>49.129999999999995</v>
      </c>
      <c r="E103" s="62"/>
      <c r="F103" s="62"/>
      <c r="G103" s="13"/>
      <c r="H103" s="598">
        <v>0.25</v>
      </c>
      <c r="I103" s="587">
        <f>0.755*I99</f>
        <v>524.72500000000002</v>
      </c>
      <c r="J103" s="600">
        <f t="shared" si="8"/>
        <v>481.70499999999998</v>
      </c>
      <c r="K103" s="601">
        <f t="shared" si="6"/>
        <v>43.020000000000039</v>
      </c>
      <c r="L103"/>
    </row>
  </sheetData>
  <mergeCells count="1">
    <mergeCell ref="C4:D4"/>
  </mergeCells>
  <dataValidations count="1">
    <dataValidation type="list" allowBlank="1" showInputMessage="1" showErrorMessage="1" sqref="B29:B32 B16:B19 B41:B44 B53:B56 B65:B68" xr:uid="{2060CDCA-512E-480A-B30A-74CE26DE843C}">
      <formula1>$N$1:$N$3</formula1>
    </dataValidation>
  </dataValidations>
  <pageMargins left="0.7" right="0.7" top="0.75" bottom="0.75" header="0.3" footer="0.3"/>
  <pageSetup scale="62" fitToHeight="11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D3291-4DA5-4239-BD95-EE2474FA1616}">
  <sheetPr codeName="Sheet26">
    <pageSetUpPr fitToPage="1"/>
  </sheetPr>
  <dimension ref="A1:S96"/>
  <sheetViews>
    <sheetView topLeftCell="A46" workbookViewId="0">
      <selection activeCell="D32" sqref="D32"/>
    </sheetView>
  </sheetViews>
  <sheetFormatPr defaultColWidth="12.125" defaultRowHeight="15.75" x14ac:dyDescent="0.25"/>
  <cols>
    <col min="1" max="1" width="10" customWidth="1"/>
    <col min="5" max="5" width="12.125" style="67"/>
    <col min="7" max="7" width="12.125" style="95"/>
    <col min="8" max="8" width="12.125" style="13"/>
    <col min="9" max="9" width="12.125" style="96"/>
    <col min="12" max="12" width="12.125" style="62"/>
  </cols>
  <sheetData>
    <row r="1" spans="1:19" ht="30.75" customHeight="1" x14ac:dyDescent="0.55000000000000004">
      <c r="A1" s="234" t="s">
        <v>6</v>
      </c>
      <c r="B1" s="236"/>
      <c r="C1" s="236"/>
      <c r="D1" s="236"/>
      <c r="I1" s="117"/>
      <c r="J1" s="287"/>
      <c r="K1" s="287"/>
      <c r="L1" s="117"/>
      <c r="M1" s="287"/>
      <c r="O1" s="154" t="s">
        <v>203</v>
      </c>
    </row>
    <row r="2" spans="1:19" s="98" customFormat="1" x14ac:dyDescent="0.25">
      <c r="A2" s="87"/>
      <c r="B2" s="200">
        <v>48</v>
      </c>
      <c r="C2" s="87" t="s">
        <v>142</v>
      </c>
      <c r="D2" s="87"/>
      <c r="E2" s="117"/>
      <c r="F2" s="117"/>
      <c r="G2" s="117"/>
      <c r="H2" s="117"/>
      <c r="I2" s="117"/>
      <c r="J2" s="429"/>
      <c r="K2" s="430"/>
      <c r="L2" s="471"/>
      <c r="M2" s="117"/>
      <c r="O2" s="155" t="s">
        <v>187</v>
      </c>
      <c r="P2" s="117"/>
      <c r="Q2" s="117"/>
      <c r="R2" s="117"/>
      <c r="S2" s="117"/>
    </row>
    <row r="3" spans="1:19" s="98" customFormat="1" x14ac:dyDescent="0.25">
      <c r="A3" s="87"/>
      <c r="B3" s="170">
        <v>3.3</v>
      </c>
      <c r="C3" s="170" t="s">
        <v>185</v>
      </c>
      <c r="D3" s="87"/>
      <c r="E3" s="117"/>
      <c r="F3" s="117"/>
      <c r="G3" s="117"/>
      <c r="H3" s="117"/>
      <c r="I3" s="117"/>
      <c r="J3" s="117"/>
      <c r="K3" s="117"/>
      <c r="L3" s="152"/>
      <c r="M3" s="117"/>
      <c r="O3" s="155" t="s">
        <v>206</v>
      </c>
      <c r="P3" s="117"/>
      <c r="Q3" s="117"/>
      <c r="R3" s="117"/>
      <c r="S3" s="117"/>
    </row>
    <row r="4" spans="1:19" s="98" customFormat="1" ht="33" customHeight="1" x14ac:dyDescent="0.4">
      <c r="A4" s="87"/>
      <c r="B4" s="142">
        <v>15</v>
      </c>
      <c r="C4" s="656" t="s">
        <v>230</v>
      </c>
      <c r="D4" s="657"/>
      <c r="E4" s="270"/>
      <c r="F4" s="511" t="s">
        <v>349</v>
      </c>
      <c r="G4" s="512" t="s">
        <v>144</v>
      </c>
      <c r="H4" s="117"/>
      <c r="I4" s="117"/>
      <c r="J4" s="158"/>
      <c r="K4" s="117"/>
      <c r="L4" s="152"/>
      <c r="M4" s="117"/>
      <c r="O4" s="157"/>
      <c r="P4" s="117"/>
      <c r="Q4" s="117"/>
      <c r="R4" s="117"/>
      <c r="S4" s="117"/>
    </row>
    <row r="5" spans="1:19" s="98" customFormat="1" x14ac:dyDescent="0.25">
      <c r="A5" s="314"/>
      <c r="B5" s="87">
        <f>SUM(B2:B4)</f>
        <v>66.3</v>
      </c>
      <c r="C5" s="87"/>
      <c r="D5" s="87"/>
      <c r="E5" s="270"/>
      <c r="F5" s="117">
        <v>100</v>
      </c>
      <c r="G5" s="130">
        <f>+F5+B5</f>
        <v>166.3</v>
      </c>
      <c r="H5" s="117"/>
      <c r="I5" s="117"/>
      <c r="J5" s="158"/>
      <c r="K5" s="117"/>
      <c r="L5" s="152"/>
      <c r="M5" s="117"/>
      <c r="P5" s="117"/>
      <c r="Q5" s="117"/>
      <c r="R5" s="117"/>
      <c r="S5" s="117"/>
    </row>
    <row r="6" spans="1:19" s="98" customFormat="1" x14ac:dyDescent="0.25">
      <c r="A6" s="87"/>
      <c r="B6" s="87"/>
      <c r="C6" s="87"/>
      <c r="D6" s="87"/>
      <c r="E6" s="117"/>
      <c r="F6" s="117"/>
      <c r="G6" s="120"/>
      <c r="H6" s="471"/>
      <c r="I6" s="117"/>
      <c r="J6" s="80"/>
      <c r="L6" s="152"/>
      <c r="M6" s="153"/>
      <c r="N6" s="117"/>
      <c r="O6" s="117"/>
      <c r="P6" s="117"/>
      <c r="Q6" s="117"/>
      <c r="R6" s="117"/>
      <c r="S6" s="117"/>
    </row>
    <row r="7" spans="1:19" s="98" customFormat="1" x14ac:dyDescent="0.25">
      <c r="A7" s="225" t="s">
        <v>189</v>
      </c>
      <c r="B7" s="87">
        <f>+B5/300</f>
        <v>0.221</v>
      </c>
      <c r="C7" s="87"/>
      <c r="D7" s="87"/>
      <c r="E7" s="62"/>
      <c r="F7" s="62" t="s">
        <v>189</v>
      </c>
      <c r="G7" s="392">
        <f>+G5/300</f>
        <v>0.55433333333333334</v>
      </c>
      <c r="H7" s="117"/>
      <c r="I7" s="80"/>
      <c r="K7" s="152"/>
      <c r="L7" s="153"/>
      <c r="M7" s="117"/>
      <c r="N7" s="117"/>
      <c r="O7" s="117"/>
      <c r="P7" s="117"/>
      <c r="Q7" s="117"/>
      <c r="R7" s="117"/>
    </row>
    <row r="8" spans="1:19" s="117" customFormat="1" x14ac:dyDescent="0.25">
      <c r="A8" s="225"/>
      <c r="B8" s="128"/>
      <c r="C8" s="128"/>
      <c r="D8" s="128"/>
      <c r="E8" s="62"/>
      <c r="F8" s="390"/>
      <c r="G8" s="471"/>
      <c r="I8" s="158"/>
      <c r="K8" s="152"/>
      <c r="L8" s="153"/>
    </row>
    <row r="9" spans="1:19" s="161" customFormat="1" x14ac:dyDescent="0.25">
      <c r="A9" s="141"/>
      <c r="B9" s="160"/>
      <c r="D9" s="307"/>
      <c r="E9" s="238"/>
      <c r="F9" s="239"/>
      <c r="H9" s="164"/>
      <c r="J9" s="165"/>
      <c r="K9" s="166"/>
    </row>
    <row r="10" spans="1:19" s="161" customFormat="1" x14ac:dyDescent="0.25">
      <c r="A10" s="141"/>
      <c r="B10" s="160"/>
      <c r="D10" s="307"/>
      <c r="E10" s="238"/>
      <c r="F10" s="239"/>
      <c r="H10" s="164"/>
      <c r="J10" s="165"/>
      <c r="K10" s="166"/>
    </row>
    <row r="11" spans="1:19" s="241" customFormat="1" x14ac:dyDescent="0.25">
      <c r="A11" s="186"/>
      <c r="B11" s="240"/>
      <c r="D11" s="308"/>
      <c r="E11" s="242"/>
      <c r="F11" s="243"/>
      <c r="H11" s="173"/>
      <c r="J11" s="244"/>
      <c r="K11" s="245"/>
    </row>
    <row r="12" spans="1:19" s="98" customFormat="1" x14ac:dyDescent="0.25">
      <c r="A12" s="15"/>
      <c r="B12" s="87"/>
      <c r="C12" s="80"/>
      <c r="D12" s="115"/>
      <c r="E12" s="116"/>
      <c r="G12" s="117"/>
      <c r="H12" s="80"/>
      <c r="J12" s="152"/>
      <c r="K12" s="153"/>
      <c r="L12" s="117"/>
      <c r="M12" s="117"/>
      <c r="N12" s="117"/>
      <c r="O12" s="117"/>
      <c r="P12" s="117"/>
      <c r="Q12" s="117"/>
    </row>
    <row r="13" spans="1:19" s="98" customFormat="1" x14ac:dyDescent="0.25">
      <c r="A13" s="168" t="s">
        <v>218</v>
      </c>
      <c r="B13" s="87"/>
      <c r="C13" s="80"/>
      <c r="D13" s="115"/>
      <c r="E13" s="116"/>
      <c r="G13" s="117"/>
      <c r="H13" s="80"/>
      <c r="K13" s="280" t="s">
        <v>144</v>
      </c>
      <c r="L13" s="117"/>
      <c r="M13" s="117"/>
      <c r="N13" s="117"/>
      <c r="O13" s="117"/>
      <c r="P13" s="117"/>
      <c r="Q13" s="117"/>
    </row>
    <row r="14" spans="1:19" s="98" customFormat="1" x14ac:dyDescent="0.25">
      <c r="A14" s="15"/>
      <c r="B14" s="121"/>
      <c r="C14" s="80"/>
      <c r="D14" s="115"/>
      <c r="E14" s="116"/>
      <c r="G14" s="117"/>
      <c r="H14" s="261">
        <f>ROUNDUP(F20,0)</f>
        <v>285</v>
      </c>
      <c r="I14" s="262" t="s">
        <v>201</v>
      </c>
      <c r="J14" s="87">
        <f>+B7*F20</f>
        <v>62.984999999999999</v>
      </c>
      <c r="K14" s="264">
        <f>+F20*G7</f>
        <v>157.98500000000001</v>
      </c>
      <c r="L14" s="117"/>
      <c r="M14" s="117"/>
      <c r="N14" s="117"/>
      <c r="O14" s="117"/>
      <c r="P14" s="117"/>
      <c r="Q14" s="117"/>
    </row>
    <row r="15" spans="1:19" s="125" customFormat="1" ht="31.5" x14ac:dyDescent="0.25">
      <c r="A15" s="182"/>
      <c r="B15" s="183" t="s">
        <v>199</v>
      </c>
      <c r="C15" s="184" t="s">
        <v>196</v>
      </c>
      <c r="D15" s="183" t="s">
        <v>197</v>
      </c>
      <c r="E15" s="169" t="s">
        <v>198</v>
      </c>
      <c r="F15" s="185" t="s">
        <v>188</v>
      </c>
      <c r="G15" s="124"/>
      <c r="H15" s="265">
        <v>1</v>
      </c>
      <c r="I15" s="309" t="s">
        <v>177</v>
      </c>
      <c r="J15" s="310">
        <f>+H15*45</f>
        <v>45</v>
      </c>
      <c r="K15" s="311">
        <f>+H15*85</f>
        <v>85</v>
      </c>
      <c r="L15" s="124"/>
      <c r="M15" s="502"/>
      <c r="N15" s="502"/>
      <c r="O15" s="124"/>
      <c r="P15" s="124"/>
      <c r="Q15" s="124"/>
    </row>
    <row r="16" spans="1:19" s="81" customFormat="1" x14ac:dyDescent="0.25">
      <c r="A16" s="306" t="s">
        <v>219</v>
      </c>
      <c r="B16" s="251" t="s">
        <v>203</v>
      </c>
      <c r="C16" s="252">
        <v>500</v>
      </c>
      <c r="D16" s="251">
        <v>15</v>
      </c>
      <c r="E16" s="254">
        <f>IF(B16="Daily",7, IF(B16="Weekly",1, IF(B16="Every Other Day",4,"")))</f>
        <v>7</v>
      </c>
      <c r="F16" s="255">
        <f>+D16*E16</f>
        <v>105</v>
      </c>
      <c r="G16" s="83"/>
      <c r="H16" s="266">
        <f>IF(E20&gt;=25, E20+2, E20+1)</f>
        <v>20</v>
      </c>
      <c r="I16" s="305" t="s">
        <v>217</v>
      </c>
      <c r="J16" s="87"/>
      <c r="K16" s="263"/>
      <c r="L16" s="83"/>
      <c r="M16" s="503"/>
      <c r="N16" s="503"/>
      <c r="O16" s="83"/>
      <c r="P16" s="83"/>
      <c r="Q16" s="83"/>
    </row>
    <row r="17" spans="1:17" s="81" customFormat="1" x14ac:dyDescent="0.25">
      <c r="A17" s="306" t="s">
        <v>219</v>
      </c>
      <c r="B17" s="251" t="s">
        <v>187</v>
      </c>
      <c r="C17" s="252">
        <v>500</v>
      </c>
      <c r="D17" s="251">
        <v>15</v>
      </c>
      <c r="E17" s="256">
        <f>IF(B17="Daily",7, IF(B17="Weekly",1, IF(B17="Every Other Day",4,"")))</f>
        <v>4</v>
      </c>
      <c r="F17" s="255">
        <f t="shared" ref="F17:F19" si="0">+D17*E17</f>
        <v>60</v>
      </c>
      <c r="G17" s="83"/>
      <c r="H17" s="266">
        <f>ROUNDUP(F21,0)</f>
        <v>1</v>
      </c>
      <c r="I17" s="305" t="s">
        <v>190</v>
      </c>
      <c r="J17" s="87"/>
      <c r="K17" s="263"/>
      <c r="L17" s="83"/>
      <c r="M17" s="503"/>
      <c r="N17" s="503"/>
      <c r="O17" s="83"/>
      <c r="P17" s="83"/>
      <c r="Q17" s="83"/>
    </row>
    <row r="18" spans="1:17" s="81" customFormat="1" x14ac:dyDescent="0.25">
      <c r="A18" s="306" t="s">
        <v>219</v>
      </c>
      <c r="B18" s="251" t="s">
        <v>203</v>
      </c>
      <c r="C18" s="252">
        <v>500</v>
      </c>
      <c r="D18" s="251">
        <v>15</v>
      </c>
      <c r="E18" s="256">
        <f>IF(B18="Daily",7, IF(B18="Weekly",1, IF(B18="Every Other Day",4,"")))</f>
        <v>7</v>
      </c>
      <c r="F18" s="255">
        <f t="shared" si="0"/>
        <v>105</v>
      </c>
      <c r="G18" s="83"/>
      <c r="H18" s="266">
        <f>H16</f>
        <v>20</v>
      </c>
      <c r="I18" s="305" t="s">
        <v>200</v>
      </c>
      <c r="J18" s="87"/>
      <c r="K18" s="263"/>
      <c r="L18" s="83"/>
      <c r="M18" s="503"/>
      <c r="N18" s="503"/>
      <c r="O18" s="83"/>
      <c r="P18" s="83"/>
      <c r="Q18" s="83"/>
    </row>
    <row r="19" spans="1:17" s="81" customFormat="1" x14ac:dyDescent="0.25">
      <c r="A19" s="306" t="s">
        <v>219</v>
      </c>
      <c r="B19" s="257" t="s">
        <v>206</v>
      </c>
      <c r="C19" s="258">
        <v>500</v>
      </c>
      <c r="D19" s="257">
        <v>15</v>
      </c>
      <c r="E19" s="259">
        <f>IF(B19="Daily",7, IF(B19="Weekly",1, IF(B19="Every Other Day",4,"")))</f>
        <v>1</v>
      </c>
      <c r="F19" s="260">
        <f t="shared" si="0"/>
        <v>15</v>
      </c>
      <c r="G19" s="83"/>
      <c r="H19" s="252">
        <v>0</v>
      </c>
      <c r="I19" s="304" t="s">
        <v>192</v>
      </c>
      <c r="J19" s="142">
        <f>H19*3.65</f>
        <v>0</v>
      </c>
      <c r="K19" s="267"/>
      <c r="L19" s="83"/>
      <c r="M19" s="503"/>
      <c r="N19" s="503"/>
      <c r="O19" s="83"/>
      <c r="P19" s="83"/>
      <c r="Q19" s="83"/>
    </row>
    <row r="20" spans="1:17" s="81" customFormat="1" x14ac:dyDescent="0.25">
      <c r="A20" s="88"/>
      <c r="B20" s="79"/>
      <c r="C20" s="80"/>
      <c r="D20" s="82"/>
      <c r="E20" s="167">
        <f>SUM(E16:E19)</f>
        <v>19</v>
      </c>
      <c r="F20" s="279">
        <f>SUM(F16:F19)</f>
        <v>285</v>
      </c>
      <c r="G20" s="83"/>
      <c r="H20" s="80"/>
      <c r="J20" s="128">
        <f>SUM(J14:J19)</f>
        <v>107.985</v>
      </c>
      <c r="K20" s="269">
        <f>ROUNDUP(SUM(K14:K19),0)</f>
        <v>243</v>
      </c>
      <c r="L20" s="83"/>
      <c r="M20" s="427" t="s">
        <v>202</v>
      </c>
      <c r="N20" s="428">
        <f>+K20-J20</f>
        <v>135.01499999999999</v>
      </c>
      <c r="O20" s="83"/>
      <c r="P20" s="83"/>
      <c r="Q20" s="83"/>
    </row>
    <row r="21" spans="1:17" s="81" customFormat="1" x14ac:dyDescent="0.25">
      <c r="A21" s="88"/>
      <c r="B21" s="79"/>
      <c r="C21" s="80"/>
      <c r="D21" s="82"/>
      <c r="E21" s="89" t="s">
        <v>204</v>
      </c>
      <c r="F21" s="110">
        <f>+F20/300</f>
        <v>0.95</v>
      </c>
      <c r="G21" s="83"/>
      <c r="H21" s="80"/>
      <c r="I21" s="131" t="s">
        <v>189</v>
      </c>
      <c r="J21" s="113">
        <f>+J20/H14</f>
        <v>0.37889473684210528</v>
      </c>
      <c r="K21" s="112">
        <f>+K20/H14</f>
        <v>0.85263157894736841</v>
      </c>
      <c r="L21" s="83"/>
      <c r="M21" s="427"/>
      <c r="N21" s="427"/>
      <c r="O21" s="83"/>
      <c r="P21" s="83"/>
      <c r="Q21" s="83"/>
    </row>
    <row r="22" spans="1:17" s="81" customFormat="1" x14ac:dyDescent="0.25">
      <c r="A22" s="88"/>
      <c r="B22" s="79"/>
      <c r="C22" s="80"/>
      <c r="D22" s="82"/>
      <c r="E22" s="109"/>
      <c r="G22" s="83"/>
      <c r="H22" s="80"/>
      <c r="L22" s="83"/>
      <c r="M22" s="503"/>
      <c r="N22" s="503"/>
      <c r="O22" s="83"/>
      <c r="P22" s="83"/>
      <c r="Q22" s="83"/>
    </row>
    <row r="23" spans="1:17" s="161" customFormat="1" x14ac:dyDescent="0.25">
      <c r="A23" s="141"/>
      <c r="B23" s="160"/>
      <c r="D23" s="307"/>
      <c r="E23" s="238"/>
      <c r="F23" s="239"/>
      <c r="H23" s="164"/>
      <c r="J23" s="165"/>
      <c r="K23" s="166"/>
      <c r="M23" s="501"/>
      <c r="N23" s="501"/>
    </row>
    <row r="24" spans="1:17" s="161" customFormat="1" x14ac:dyDescent="0.25">
      <c r="A24" s="159"/>
      <c r="B24" s="160"/>
      <c r="D24" s="162"/>
      <c r="E24" s="163"/>
      <c r="H24" s="164"/>
      <c r="J24" s="165"/>
      <c r="K24" s="166"/>
      <c r="M24" s="501"/>
      <c r="N24" s="501"/>
    </row>
    <row r="25" spans="1:17" s="98" customFormat="1" x14ac:dyDescent="0.25">
      <c r="A25" s="15"/>
      <c r="B25" s="87"/>
      <c r="C25" s="80"/>
      <c r="D25" s="115"/>
      <c r="E25" s="116"/>
      <c r="G25" s="117"/>
      <c r="H25" s="80"/>
      <c r="J25" s="152"/>
      <c r="K25" s="153"/>
      <c r="L25" s="117"/>
      <c r="M25" s="500"/>
      <c r="N25" s="500"/>
      <c r="O25" s="117"/>
      <c r="P25" s="117"/>
      <c r="Q25" s="117"/>
    </row>
    <row r="26" spans="1:17" s="98" customFormat="1" x14ac:dyDescent="0.25">
      <c r="A26" s="15"/>
      <c r="B26" s="87"/>
      <c r="C26" s="80"/>
      <c r="D26" s="115"/>
      <c r="E26" s="116"/>
      <c r="G26" s="117"/>
      <c r="H26" s="80"/>
      <c r="K26" s="114" t="s">
        <v>144</v>
      </c>
      <c r="L26" s="117"/>
      <c r="M26" s="500"/>
      <c r="N26" s="500"/>
      <c r="O26" s="117"/>
      <c r="P26" s="117"/>
      <c r="Q26" s="117"/>
    </row>
    <row r="27" spans="1:17" s="98" customFormat="1" x14ac:dyDescent="0.25">
      <c r="A27" s="15"/>
      <c r="B27" s="121"/>
      <c r="C27" s="80"/>
      <c r="D27" s="115"/>
      <c r="E27" s="116"/>
      <c r="G27" s="117"/>
      <c r="H27" s="118">
        <f>ROUNDUP(F33,0)</f>
        <v>252</v>
      </c>
      <c r="I27" s="119" t="s">
        <v>201</v>
      </c>
      <c r="J27" s="87">
        <f>F33*B7</f>
        <v>55.692</v>
      </c>
      <c r="K27" s="120">
        <f>+F33*G7</f>
        <v>139.69200000000001</v>
      </c>
      <c r="L27" s="117"/>
      <c r="M27" s="500"/>
      <c r="N27" s="500"/>
      <c r="O27" s="117"/>
      <c r="P27" s="117"/>
      <c r="Q27" s="117"/>
    </row>
    <row r="28" spans="1:17" s="125" customFormat="1" ht="31.5" x14ac:dyDescent="0.25">
      <c r="A28" s="653" t="s">
        <v>266</v>
      </c>
      <c r="B28" s="148" t="s">
        <v>199</v>
      </c>
      <c r="C28" s="149" t="s">
        <v>196</v>
      </c>
      <c r="D28" s="148" t="s">
        <v>197</v>
      </c>
      <c r="E28" s="122" t="s">
        <v>198</v>
      </c>
      <c r="F28" s="150" t="s">
        <v>188</v>
      </c>
      <c r="G28" s="124"/>
      <c r="H28" s="302">
        <v>1</v>
      </c>
      <c r="I28" s="62" t="s">
        <v>177</v>
      </c>
      <c r="J28" s="87">
        <f>+H28*45</f>
        <v>45</v>
      </c>
      <c r="K28" s="93">
        <f>H28*85</f>
        <v>85</v>
      </c>
      <c r="L28" s="124"/>
      <c r="M28" s="502"/>
      <c r="N28" s="502"/>
      <c r="O28" s="124"/>
      <c r="P28" s="124"/>
      <c r="Q28" s="124"/>
    </row>
    <row r="29" spans="1:17" s="81" customFormat="1" x14ac:dyDescent="0.25">
      <c r="A29" s="78" t="s">
        <v>108</v>
      </c>
      <c r="B29" s="199" t="s">
        <v>203</v>
      </c>
      <c r="C29" s="192">
        <v>200</v>
      </c>
      <c r="D29" s="199">
        <v>6</v>
      </c>
      <c r="E29" s="145">
        <f>IF(B29="Daily",7, IF(B29="Weekly",1, IF(B29="Every Other Day",4,"")))</f>
        <v>7</v>
      </c>
      <c r="F29" s="146">
        <f>+D29*E29</f>
        <v>42</v>
      </c>
      <c r="G29" s="83"/>
      <c r="H29" s="80">
        <f>IF(E33&gt;=25, E33+2, E33+1)</f>
        <v>30</v>
      </c>
      <c r="I29" s="62" t="s">
        <v>217</v>
      </c>
      <c r="J29" s="87"/>
      <c r="K29" s="93"/>
      <c r="L29" s="83"/>
      <c r="M29" s="503"/>
      <c r="N29" s="503"/>
      <c r="O29" s="83"/>
      <c r="P29" s="83"/>
      <c r="Q29" s="83"/>
    </row>
    <row r="30" spans="1:17" s="81" customFormat="1" x14ac:dyDescent="0.25">
      <c r="A30" s="78" t="s">
        <v>109</v>
      </c>
      <c r="B30" s="199" t="s">
        <v>203</v>
      </c>
      <c r="C30" s="192">
        <v>200</v>
      </c>
      <c r="D30" s="199">
        <v>6</v>
      </c>
      <c r="E30" s="147">
        <f>IF(B30="Daily",7, IF(B30="Weekly",1, IF(B30="Every Other Day",4,"")))</f>
        <v>7</v>
      </c>
      <c r="F30" s="146">
        <f t="shared" ref="F30:F32" si="1">+D30*E30</f>
        <v>42</v>
      </c>
      <c r="G30" s="83"/>
      <c r="H30" s="80">
        <f>ROUNDUP(F34,0)</f>
        <v>1</v>
      </c>
      <c r="I30" s="62" t="s">
        <v>190</v>
      </c>
      <c r="J30" s="87"/>
      <c r="K30" s="93"/>
      <c r="L30" s="83"/>
      <c r="M30" s="503"/>
      <c r="N30" s="503"/>
      <c r="O30" s="83"/>
      <c r="P30" s="83"/>
      <c r="Q30" s="83"/>
    </row>
    <row r="31" spans="1:17" s="81" customFormat="1" x14ac:dyDescent="0.25">
      <c r="A31" s="78" t="s">
        <v>110</v>
      </c>
      <c r="B31" s="199" t="s">
        <v>203</v>
      </c>
      <c r="C31" s="192">
        <v>400</v>
      </c>
      <c r="D31" s="199">
        <v>12</v>
      </c>
      <c r="E31" s="147">
        <f>IF(B31="Daily",7, IF(B31="Weekly",1, IF(B31="Every Other Day",4,"")))</f>
        <v>7</v>
      </c>
      <c r="F31" s="146">
        <f t="shared" si="1"/>
        <v>84</v>
      </c>
      <c r="G31" s="83"/>
      <c r="H31" s="80">
        <f>H29</f>
        <v>30</v>
      </c>
      <c r="I31" s="62" t="s">
        <v>200</v>
      </c>
      <c r="J31" s="87"/>
      <c r="K31" s="93"/>
      <c r="L31" s="83"/>
      <c r="M31" s="503"/>
      <c r="N31" s="503"/>
      <c r="O31" s="83"/>
      <c r="P31" s="83"/>
      <c r="Q31" s="83"/>
    </row>
    <row r="32" spans="1:17" s="81" customFormat="1" x14ac:dyDescent="0.25">
      <c r="A32" s="100" t="s">
        <v>141</v>
      </c>
      <c r="B32" s="101" t="s">
        <v>203</v>
      </c>
      <c r="C32" s="102">
        <v>400</v>
      </c>
      <c r="D32" s="101">
        <v>12</v>
      </c>
      <c r="E32" s="144">
        <f>IF(B32="Daily",7, IF(B32="Weekly",1, IF(B32="Every Other Day",4,"")))</f>
        <v>7</v>
      </c>
      <c r="F32" s="103">
        <f t="shared" si="1"/>
        <v>84</v>
      </c>
      <c r="G32" s="83"/>
      <c r="H32" s="303">
        <v>1</v>
      </c>
      <c r="I32" s="71" t="s">
        <v>192</v>
      </c>
      <c r="J32" s="142">
        <f>H32*3.65</f>
        <v>3.65</v>
      </c>
      <c r="K32" s="143"/>
      <c r="L32" s="83"/>
      <c r="M32" s="503"/>
      <c r="N32" s="503"/>
      <c r="O32" s="83"/>
      <c r="P32" s="83"/>
      <c r="Q32" s="83"/>
    </row>
    <row r="33" spans="1:17" s="81" customFormat="1" x14ac:dyDescent="0.25">
      <c r="A33" s="88"/>
      <c r="B33" s="79"/>
      <c r="C33" s="80"/>
      <c r="D33" s="82"/>
      <c r="E33" s="167">
        <f>SUM(E29:E32)</f>
        <v>28</v>
      </c>
      <c r="F33" s="127">
        <f>SUM(F29:F32)</f>
        <v>252</v>
      </c>
      <c r="G33" s="83"/>
      <c r="H33" s="80"/>
      <c r="J33" s="128">
        <f>SUM(J27:J32)</f>
        <v>104.34200000000001</v>
      </c>
      <c r="K33" s="129">
        <f>ROUNDUP(SUM(K27:K32),0)</f>
        <v>225</v>
      </c>
      <c r="L33" s="83"/>
      <c r="M33" s="427" t="s">
        <v>202</v>
      </c>
      <c r="N33" s="428">
        <f>+K33-J33</f>
        <v>120.65799999999999</v>
      </c>
      <c r="O33" s="83"/>
      <c r="P33" s="83"/>
      <c r="Q33" s="83"/>
    </row>
    <row r="34" spans="1:17" s="81" customFormat="1" x14ac:dyDescent="0.25">
      <c r="A34" s="88"/>
      <c r="B34" s="79"/>
      <c r="C34" s="80"/>
      <c r="D34" s="82"/>
      <c r="E34" s="89" t="s">
        <v>204</v>
      </c>
      <c r="F34" s="110">
        <f>+F33/300</f>
        <v>0.84</v>
      </c>
      <c r="G34" s="83"/>
      <c r="H34" s="80"/>
      <c r="I34" s="131" t="s">
        <v>189</v>
      </c>
      <c r="J34" s="113">
        <f>+J33/H27</f>
        <v>0.41405555555555562</v>
      </c>
      <c r="K34" s="112">
        <f>+K33/H27</f>
        <v>0.8928571428571429</v>
      </c>
      <c r="L34" s="83"/>
      <c r="M34" s="503"/>
      <c r="N34" s="503"/>
      <c r="O34" s="83"/>
      <c r="P34" s="83"/>
      <c r="Q34" s="83"/>
    </row>
    <row r="35" spans="1:17" s="81" customFormat="1" x14ac:dyDescent="0.25">
      <c r="A35" s="88"/>
      <c r="B35" s="79"/>
      <c r="C35" s="80"/>
      <c r="D35" s="82"/>
      <c r="E35" s="109"/>
      <c r="G35" s="83"/>
      <c r="H35" s="80"/>
      <c r="I35" s="131"/>
      <c r="J35" s="131"/>
      <c r="K35" s="131"/>
      <c r="L35" s="83"/>
      <c r="M35" s="503"/>
      <c r="N35" s="503"/>
      <c r="O35" s="83"/>
      <c r="P35" s="83"/>
      <c r="Q35" s="83"/>
    </row>
    <row r="36" spans="1:17" s="107" customFormat="1" x14ac:dyDescent="0.25">
      <c r="A36" s="104"/>
      <c r="B36" s="105"/>
      <c r="C36" s="106"/>
      <c r="D36" s="108"/>
      <c r="E36" s="151"/>
      <c r="H36" s="106"/>
      <c r="M36" s="504"/>
      <c r="N36" s="504"/>
    </row>
    <row r="37" spans="1:17" s="98" customFormat="1" x14ac:dyDescent="0.25">
      <c r="A37" s="15"/>
      <c r="B37" s="87"/>
      <c r="C37" s="80"/>
      <c r="D37" s="115"/>
      <c r="E37" s="116"/>
      <c r="G37" s="117"/>
      <c r="H37" s="80"/>
      <c r="J37" s="152"/>
      <c r="K37" s="153"/>
      <c r="L37" s="117"/>
      <c r="M37" s="500"/>
      <c r="N37" s="500"/>
      <c r="O37" s="117"/>
      <c r="P37" s="117"/>
      <c r="Q37" s="117"/>
    </row>
    <row r="38" spans="1:17" s="98" customFormat="1" x14ac:dyDescent="0.25">
      <c r="A38" s="15"/>
      <c r="B38" s="87"/>
      <c r="C38" s="80"/>
      <c r="D38" s="115"/>
      <c r="E38" s="116"/>
      <c r="G38" s="117"/>
      <c r="H38" s="80"/>
      <c r="K38" s="114" t="s">
        <v>144</v>
      </c>
      <c r="L38" s="117"/>
      <c r="M38" s="500"/>
      <c r="N38" s="500"/>
      <c r="O38" s="117"/>
      <c r="P38" s="117"/>
      <c r="Q38" s="117"/>
    </row>
    <row r="39" spans="1:17" s="98" customFormat="1" x14ac:dyDescent="0.25">
      <c r="A39" s="15"/>
      <c r="B39" s="121"/>
      <c r="C39" s="80"/>
      <c r="D39" s="115"/>
      <c r="E39" s="116"/>
      <c r="G39" s="117"/>
      <c r="H39" s="118">
        <f>ROUNDUP(F45,0)</f>
        <v>504</v>
      </c>
      <c r="I39" s="119" t="s">
        <v>201</v>
      </c>
      <c r="J39" s="87">
        <f>+B7*F45</f>
        <v>111.384</v>
      </c>
      <c r="K39" s="120">
        <f>+F45*G7</f>
        <v>279.38400000000001</v>
      </c>
      <c r="L39" s="117"/>
      <c r="M39" s="500"/>
      <c r="N39" s="500"/>
      <c r="O39" s="117"/>
      <c r="P39" s="117"/>
      <c r="Q39" s="117"/>
    </row>
    <row r="40" spans="1:17" s="125" customFormat="1" ht="31.5" x14ac:dyDescent="0.25">
      <c r="A40" s="653" t="s">
        <v>268</v>
      </c>
      <c r="B40" s="148" t="s">
        <v>199</v>
      </c>
      <c r="C40" s="149" t="s">
        <v>196</v>
      </c>
      <c r="D40" s="148" t="s">
        <v>197</v>
      </c>
      <c r="E40" s="122" t="s">
        <v>198</v>
      </c>
      <c r="F40" s="150" t="s">
        <v>188</v>
      </c>
      <c r="G40" s="124"/>
      <c r="H40" s="302">
        <v>0</v>
      </c>
      <c r="I40" s="62" t="s">
        <v>177</v>
      </c>
      <c r="J40" s="87">
        <f>+H40*45</f>
        <v>0</v>
      </c>
      <c r="K40" s="93">
        <f>+H40*85</f>
        <v>0</v>
      </c>
      <c r="L40" s="124"/>
      <c r="M40" s="502"/>
      <c r="N40" s="502"/>
      <c r="O40" s="124"/>
      <c r="P40" s="124"/>
      <c r="Q40" s="124"/>
    </row>
    <row r="41" spans="1:17" s="81" customFormat="1" x14ac:dyDescent="0.25">
      <c r="A41" s="78" t="s">
        <v>207</v>
      </c>
      <c r="B41" s="199" t="s">
        <v>203</v>
      </c>
      <c r="C41" s="192">
        <v>600</v>
      </c>
      <c r="D41" s="199">
        <v>18</v>
      </c>
      <c r="E41" s="145">
        <f>IF(B41="Daily",7, IF(B41="Weekly",1, IF(B41="Every Other Day",4,"")))</f>
        <v>7</v>
      </c>
      <c r="F41" s="146">
        <f>+D41*E41</f>
        <v>126</v>
      </c>
      <c r="G41" s="83"/>
      <c r="H41" s="80">
        <f>IF(E45&gt;=25, E45+2, E45+1)</f>
        <v>30</v>
      </c>
      <c r="I41" s="62" t="s">
        <v>217</v>
      </c>
      <c r="J41" s="87"/>
      <c r="K41" s="93"/>
      <c r="L41" s="83"/>
      <c r="M41" s="503"/>
      <c r="N41" s="503"/>
      <c r="O41" s="83"/>
      <c r="P41" s="83"/>
      <c r="Q41" s="83"/>
    </row>
    <row r="42" spans="1:17" s="81" customFormat="1" x14ac:dyDescent="0.25">
      <c r="A42" s="78" t="s">
        <v>208</v>
      </c>
      <c r="B42" s="199" t="s">
        <v>203</v>
      </c>
      <c r="C42" s="192">
        <v>600</v>
      </c>
      <c r="D42" s="199">
        <v>18</v>
      </c>
      <c r="E42" s="147">
        <f>IF(B42="Daily",7, IF(B42="Weekly",1, IF(B42="Every Other Day",4,"")))</f>
        <v>7</v>
      </c>
      <c r="F42" s="146">
        <f t="shared" ref="F42:F44" si="2">+D42*E42</f>
        <v>126</v>
      </c>
      <c r="G42" s="83"/>
      <c r="H42" s="80">
        <f>ROUNDUP(F46,0)</f>
        <v>2</v>
      </c>
      <c r="I42" s="62" t="s">
        <v>190</v>
      </c>
      <c r="J42" s="87"/>
      <c r="K42" s="93"/>
      <c r="L42" s="83"/>
      <c r="M42" s="503"/>
      <c r="N42" s="503"/>
      <c r="O42" s="83"/>
      <c r="P42" s="83"/>
      <c r="Q42" s="83"/>
    </row>
    <row r="43" spans="1:17" s="81" customFormat="1" x14ac:dyDescent="0.25">
      <c r="A43" s="78" t="s">
        <v>209</v>
      </c>
      <c r="B43" s="199" t="s">
        <v>203</v>
      </c>
      <c r="C43" s="192">
        <v>600</v>
      </c>
      <c r="D43" s="199">
        <v>18</v>
      </c>
      <c r="E43" s="147">
        <f>IF(B43="Daily",7, IF(B43="Weekly",1, IF(B43="Every Other Day",4,"")))</f>
        <v>7</v>
      </c>
      <c r="F43" s="146">
        <f t="shared" si="2"/>
        <v>126</v>
      </c>
      <c r="G43" s="83"/>
      <c r="H43" s="80">
        <f>H41</f>
        <v>30</v>
      </c>
      <c r="I43" s="62" t="s">
        <v>200</v>
      </c>
      <c r="J43" s="87"/>
      <c r="K43" s="93"/>
      <c r="L43" s="83"/>
      <c r="M43" s="503"/>
      <c r="N43" s="503"/>
      <c r="O43" s="83"/>
      <c r="P43" s="83"/>
      <c r="Q43" s="83"/>
    </row>
    <row r="44" spans="1:17" s="81" customFormat="1" x14ac:dyDescent="0.25">
      <c r="A44" s="100" t="s">
        <v>210</v>
      </c>
      <c r="B44" s="101" t="s">
        <v>203</v>
      </c>
      <c r="C44" s="102">
        <v>600</v>
      </c>
      <c r="D44" s="101">
        <v>18</v>
      </c>
      <c r="E44" s="144">
        <f>IF(B44="Daily",7, IF(B44="Weekly",1, IF(B44="Every Other Day",4,"")))</f>
        <v>7</v>
      </c>
      <c r="F44" s="103">
        <f t="shared" si="2"/>
        <v>126</v>
      </c>
      <c r="G44" s="83"/>
      <c r="H44" s="303">
        <v>0</v>
      </c>
      <c r="I44" s="71" t="s">
        <v>192</v>
      </c>
      <c r="J44" s="142">
        <f>H44*3.65</f>
        <v>0</v>
      </c>
      <c r="K44" s="143"/>
      <c r="L44" s="83"/>
      <c r="M44" s="503"/>
      <c r="N44" s="503"/>
      <c r="O44" s="83"/>
      <c r="P44" s="83"/>
      <c r="Q44" s="83"/>
    </row>
    <row r="45" spans="1:17" s="81" customFormat="1" x14ac:dyDescent="0.25">
      <c r="A45" s="88"/>
      <c r="B45" s="79"/>
      <c r="C45" s="80"/>
      <c r="D45" s="82"/>
      <c r="E45" s="167">
        <f>SUM(E41:E44)</f>
        <v>28</v>
      </c>
      <c r="F45" s="127">
        <f>SUM(F41:F44)</f>
        <v>504</v>
      </c>
      <c r="G45" s="83"/>
      <c r="H45" s="80"/>
      <c r="J45" s="128">
        <f>SUM(J39:J44)</f>
        <v>111.384</v>
      </c>
      <c r="K45" s="129">
        <f>ROUNDUP(SUM(K39:K44),0)</f>
        <v>280</v>
      </c>
      <c r="L45" s="83"/>
      <c r="M45" s="427" t="s">
        <v>202</v>
      </c>
      <c r="N45" s="428">
        <f>+K45-J45</f>
        <v>168.61599999999999</v>
      </c>
      <c r="O45" s="83"/>
      <c r="P45" s="83"/>
      <c r="Q45" s="83"/>
    </row>
    <row r="46" spans="1:17" s="81" customFormat="1" x14ac:dyDescent="0.25">
      <c r="A46" s="88"/>
      <c r="B46" s="79"/>
      <c r="C46" s="80"/>
      <c r="D46" s="82"/>
      <c r="E46" s="89" t="s">
        <v>204</v>
      </c>
      <c r="F46" s="110">
        <f>+F45/300</f>
        <v>1.68</v>
      </c>
      <c r="G46" s="83"/>
      <c r="H46" s="80"/>
      <c r="I46" s="131" t="s">
        <v>189</v>
      </c>
      <c r="J46" s="113">
        <f>+J45/H39</f>
        <v>0.221</v>
      </c>
      <c r="K46" s="112">
        <f>+K45/H39</f>
        <v>0.55555555555555558</v>
      </c>
      <c r="L46" s="83"/>
      <c r="M46" s="503"/>
      <c r="N46" s="503"/>
      <c r="O46" s="83"/>
      <c r="P46" s="83"/>
      <c r="Q46" s="83"/>
    </row>
    <row r="47" spans="1:17" s="81" customFormat="1" x14ac:dyDescent="0.25">
      <c r="A47" s="88"/>
      <c r="B47" s="79"/>
      <c r="C47" s="80"/>
      <c r="D47" s="82"/>
      <c r="E47" s="109"/>
      <c r="G47" s="83"/>
      <c r="H47" s="80"/>
      <c r="I47" s="131"/>
      <c r="J47" s="131"/>
      <c r="L47" s="83"/>
      <c r="M47" s="503"/>
      <c r="N47" s="503"/>
      <c r="O47" s="83"/>
      <c r="P47" s="83"/>
      <c r="Q47" s="83"/>
    </row>
    <row r="48" spans="1:17" s="107" customFormat="1" x14ac:dyDescent="0.25">
      <c r="A48" s="104"/>
      <c r="B48" s="105"/>
      <c r="C48" s="106"/>
      <c r="D48" s="108"/>
      <c r="E48" s="151"/>
      <c r="H48" s="106"/>
      <c r="M48" s="504"/>
      <c r="N48" s="504"/>
    </row>
    <row r="49" spans="1:18" s="98" customFormat="1" x14ac:dyDescent="0.25">
      <c r="A49" s="15"/>
      <c r="B49" s="87"/>
      <c r="C49" s="80"/>
      <c r="D49" s="115"/>
      <c r="E49" s="116"/>
      <c r="G49" s="117"/>
      <c r="H49" s="80"/>
      <c r="J49" s="152"/>
      <c r="K49" s="153"/>
      <c r="L49" s="117"/>
      <c r="M49" s="500"/>
      <c r="N49" s="500"/>
      <c r="O49" s="117"/>
      <c r="P49" s="117"/>
      <c r="Q49" s="117"/>
    </row>
    <row r="50" spans="1:18" s="98" customFormat="1" x14ac:dyDescent="0.25">
      <c r="A50" s="15"/>
      <c r="B50" s="87"/>
      <c r="C50" s="80"/>
      <c r="D50" s="115"/>
      <c r="E50" s="116"/>
      <c r="G50" s="117"/>
      <c r="H50" s="80"/>
      <c r="K50" s="114" t="s">
        <v>144</v>
      </c>
      <c r="L50" s="117"/>
      <c r="M50" s="500"/>
      <c r="N50" s="500"/>
      <c r="O50" s="117"/>
      <c r="P50" s="117"/>
      <c r="Q50" s="117"/>
    </row>
    <row r="51" spans="1:18" s="98" customFormat="1" x14ac:dyDescent="0.25">
      <c r="A51" s="15"/>
      <c r="B51" s="121"/>
      <c r="C51" s="80"/>
      <c r="D51" s="115"/>
      <c r="E51" s="116"/>
      <c r="G51" s="117"/>
      <c r="H51" s="118">
        <f>ROUNDUP(F57,0)</f>
        <v>504</v>
      </c>
      <c r="I51" s="119" t="s">
        <v>201</v>
      </c>
      <c r="J51" s="87">
        <f>+F57*B7</f>
        <v>111.384</v>
      </c>
      <c r="K51" s="120">
        <f>+F57*G7</f>
        <v>279.38400000000001</v>
      </c>
      <c r="L51" s="117"/>
      <c r="M51" s="500"/>
      <c r="N51" s="500"/>
      <c r="O51" s="117"/>
      <c r="P51" s="117"/>
      <c r="Q51" s="117"/>
    </row>
    <row r="52" spans="1:18" s="125" customFormat="1" ht="31.5" x14ac:dyDescent="0.25">
      <c r="A52" s="653" t="s">
        <v>269</v>
      </c>
      <c r="B52" s="148" t="s">
        <v>199</v>
      </c>
      <c r="C52" s="149" t="s">
        <v>196</v>
      </c>
      <c r="D52" s="148" t="s">
        <v>197</v>
      </c>
      <c r="E52" s="122" t="s">
        <v>198</v>
      </c>
      <c r="F52" s="150" t="s">
        <v>188</v>
      </c>
      <c r="G52" s="124"/>
      <c r="H52" s="302">
        <v>0</v>
      </c>
      <c r="I52" s="62" t="s">
        <v>177</v>
      </c>
      <c r="J52" s="87">
        <f>+H52*45</f>
        <v>0</v>
      </c>
      <c r="K52" s="93">
        <f>+H52*85</f>
        <v>0</v>
      </c>
      <c r="L52" s="124"/>
      <c r="M52" s="502"/>
      <c r="N52" s="502"/>
      <c r="O52" s="124"/>
      <c r="P52" s="124"/>
      <c r="Q52" s="124"/>
    </row>
    <row r="53" spans="1:18" s="81" customFormat="1" x14ac:dyDescent="0.25">
      <c r="A53" s="193" t="s">
        <v>211</v>
      </c>
      <c r="B53" s="199" t="s">
        <v>203</v>
      </c>
      <c r="C53" s="192">
        <v>600</v>
      </c>
      <c r="D53" s="199">
        <v>18</v>
      </c>
      <c r="E53" s="145">
        <f>IF(B53="Daily",7, IF(B53="Weekly",1, IF(B53="Every Other Day",4,"")))</f>
        <v>7</v>
      </c>
      <c r="F53" s="146">
        <f>+D53*E53</f>
        <v>126</v>
      </c>
      <c r="G53" s="83"/>
      <c r="H53" s="80">
        <f>IF(E57&gt;=25, E57+2, E57+1)</f>
        <v>30</v>
      </c>
      <c r="I53" s="62" t="s">
        <v>217</v>
      </c>
      <c r="J53" s="87"/>
      <c r="K53" s="93"/>
      <c r="L53" s="83"/>
      <c r="M53" s="503"/>
      <c r="N53" s="503"/>
      <c r="O53" s="83"/>
      <c r="P53" s="83"/>
      <c r="Q53" s="83"/>
    </row>
    <row r="54" spans="1:18" s="81" customFormat="1" x14ac:dyDescent="0.25">
      <c r="A54" s="193" t="s">
        <v>212</v>
      </c>
      <c r="B54" s="199" t="s">
        <v>203</v>
      </c>
      <c r="C54" s="192">
        <v>600</v>
      </c>
      <c r="D54" s="199">
        <v>18</v>
      </c>
      <c r="E54" s="147">
        <f>IF(B54="Daily",7, IF(B54="Weekly",1, IF(B54="Every Other Day",4,"")))</f>
        <v>7</v>
      </c>
      <c r="F54" s="146">
        <f t="shared" ref="F54:F56" si="3">+D54*E54</f>
        <v>126</v>
      </c>
      <c r="G54" s="83"/>
      <c r="H54" s="80">
        <f>ROUNDUP(F58,0)</f>
        <v>2</v>
      </c>
      <c r="I54" s="62" t="s">
        <v>190</v>
      </c>
      <c r="J54" s="87"/>
      <c r="K54" s="93"/>
      <c r="L54" s="83"/>
      <c r="M54" s="503"/>
      <c r="N54" s="503"/>
      <c r="O54" s="83"/>
      <c r="P54" s="83"/>
      <c r="Q54" s="83"/>
    </row>
    <row r="55" spans="1:18" s="81" customFormat="1" x14ac:dyDescent="0.25">
      <c r="A55" s="193" t="s">
        <v>213</v>
      </c>
      <c r="B55" s="199" t="s">
        <v>203</v>
      </c>
      <c r="C55" s="192">
        <v>600</v>
      </c>
      <c r="D55" s="199">
        <v>18</v>
      </c>
      <c r="E55" s="147">
        <f>IF(B55="Daily",7, IF(B55="Weekly",1, IF(B55="Every Other Day",4,"")))</f>
        <v>7</v>
      </c>
      <c r="F55" s="146">
        <f t="shared" si="3"/>
        <v>126</v>
      </c>
      <c r="G55" s="83"/>
      <c r="H55" s="80">
        <f>H53</f>
        <v>30</v>
      </c>
      <c r="I55" s="62" t="s">
        <v>200</v>
      </c>
      <c r="J55" s="87"/>
      <c r="K55" s="93"/>
      <c r="L55" s="83"/>
      <c r="M55" s="503"/>
      <c r="N55" s="503"/>
      <c r="O55" s="83"/>
      <c r="P55" s="83"/>
      <c r="Q55" s="83"/>
    </row>
    <row r="56" spans="1:18" s="81" customFormat="1" x14ac:dyDescent="0.25">
      <c r="A56" s="195" t="s">
        <v>214</v>
      </c>
      <c r="B56" s="101" t="s">
        <v>203</v>
      </c>
      <c r="C56" s="102">
        <v>600</v>
      </c>
      <c r="D56" s="101">
        <v>18</v>
      </c>
      <c r="E56" s="144">
        <f>IF(B56="Daily",7, IF(B56="Weekly",1, IF(B56="Every Other Day",4,"")))</f>
        <v>7</v>
      </c>
      <c r="F56" s="103">
        <f t="shared" si="3"/>
        <v>126</v>
      </c>
      <c r="G56" s="83"/>
      <c r="H56" s="303">
        <v>0</v>
      </c>
      <c r="I56" s="71" t="s">
        <v>192</v>
      </c>
      <c r="J56" s="142">
        <f>H56*3.65</f>
        <v>0</v>
      </c>
      <c r="K56" s="143"/>
      <c r="L56" s="83"/>
      <c r="M56" s="503"/>
      <c r="N56" s="503"/>
      <c r="O56" s="83"/>
      <c r="P56" s="83"/>
      <c r="Q56" s="83"/>
    </row>
    <row r="57" spans="1:18" s="81" customFormat="1" x14ac:dyDescent="0.25">
      <c r="A57" s="88"/>
      <c r="B57" s="79"/>
      <c r="C57" s="80"/>
      <c r="D57" s="82"/>
      <c r="E57" s="167">
        <f>SUM(E53:E56)</f>
        <v>28</v>
      </c>
      <c r="F57" s="127">
        <f>SUM(F53:F56)</f>
        <v>504</v>
      </c>
      <c r="G57" s="83"/>
      <c r="H57" s="80"/>
      <c r="J57" s="128">
        <f>SUM(J51:J56)</f>
        <v>111.384</v>
      </c>
      <c r="K57" s="129">
        <f>ROUNDUP(SUM(K51:K56),0)</f>
        <v>280</v>
      </c>
      <c r="L57" s="83"/>
      <c r="M57" s="427" t="s">
        <v>202</v>
      </c>
      <c r="N57" s="428">
        <f>+K57-J57</f>
        <v>168.61599999999999</v>
      </c>
      <c r="O57" s="83"/>
      <c r="P57" s="83"/>
      <c r="Q57" s="83"/>
    </row>
    <row r="58" spans="1:18" s="81" customFormat="1" x14ac:dyDescent="0.25">
      <c r="A58" s="88"/>
      <c r="B58" s="79"/>
      <c r="C58" s="80"/>
      <c r="D58" s="82"/>
      <c r="E58" s="89" t="s">
        <v>204</v>
      </c>
      <c r="F58" s="110">
        <f>+F57/300</f>
        <v>1.68</v>
      </c>
      <c r="G58" s="83"/>
      <c r="H58" s="80"/>
      <c r="I58" s="131" t="s">
        <v>189</v>
      </c>
      <c r="J58" s="113">
        <f>+J57/H51</f>
        <v>0.221</v>
      </c>
      <c r="K58" s="112">
        <f>+K57/H51</f>
        <v>0.55555555555555558</v>
      </c>
      <c r="L58" s="83"/>
      <c r="M58" s="503"/>
      <c r="N58" s="503"/>
      <c r="O58" s="83"/>
      <c r="P58" s="83"/>
      <c r="Q58" s="83"/>
    </row>
    <row r="59" spans="1:18" s="81" customFormat="1" x14ac:dyDescent="0.25">
      <c r="A59" s="88"/>
      <c r="B59" s="79"/>
      <c r="C59" s="80"/>
      <c r="D59" s="82"/>
      <c r="E59" s="109"/>
      <c r="G59" s="83"/>
      <c r="H59" s="80"/>
      <c r="I59" s="131"/>
      <c r="J59" s="131"/>
      <c r="L59" s="83"/>
      <c r="M59" s="503"/>
      <c r="N59" s="503"/>
      <c r="O59" s="83"/>
      <c r="P59" s="83"/>
      <c r="Q59" s="83"/>
    </row>
    <row r="60" spans="1:18" s="107" customFormat="1" x14ac:dyDescent="0.25">
      <c r="A60" s="104"/>
      <c r="B60" s="105"/>
      <c r="C60" s="106"/>
      <c r="D60" s="108"/>
      <c r="E60" s="151"/>
      <c r="H60" s="106"/>
      <c r="M60" s="504"/>
      <c r="N60" s="504"/>
    </row>
    <row r="61" spans="1:18" s="81" customFormat="1" x14ac:dyDescent="0.25">
      <c r="A61" s="88"/>
      <c r="B61" s="79"/>
      <c r="C61" s="80"/>
      <c r="E61" s="82"/>
      <c r="F61" s="109"/>
      <c r="H61" s="83"/>
      <c r="I61" s="80"/>
      <c r="J61" s="110"/>
      <c r="K61" s="111"/>
      <c r="L61" s="112"/>
      <c r="M61" s="83"/>
      <c r="N61" s="503"/>
      <c r="O61" s="503"/>
      <c r="P61" s="83"/>
      <c r="Q61" s="83"/>
      <c r="R61" s="83"/>
    </row>
    <row r="62" spans="1:18" s="81" customFormat="1" x14ac:dyDescent="0.25">
      <c r="A62" s="88" t="s">
        <v>215</v>
      </c>
      <c r="B62" s="79" t="s">
        <v>216</v>
      </c>
      <c r="C62" s="80"/>
      <c r="E62" s="82"/>
      <c r="F62" s="109"/>
      <c r="H62" s="83"/>
      <c r="I62" s="80"/>
      <c r="J62" s="110"/>
      <c r="K62" s="111"/>
      <c r="L62" s="112"/>
      <c r="M62" s="83"/>
      <c r="N62" s="503"/>
      <c r="O62" s="503"/>
      <c r="P62" s="83"/>
      <c r="Q62" s="83"/>
      <c r="R62" s="83"/>
    </row>
    <row r="63" spans="1:18" s="81" customFormat="1" x14ac:dyDescent="0.25">
      <c r="A63" s="13"/>
      <c r="B63" s="79"/>
      <c r="C63" s="80"/>
      <c r="E63" s="82"/>
      <c r="F63" s="109"/>
      <c r="H63" s="83"/>
      <c r="I63" s="80"/>
      <c r="J63" s="110"/>
      <c r="K63" s="111"/>
      <c r="L63" s="112"/>
      <c r="M63" s="83"/>
      <c r="N63" s="503"/>
      <c r="O63" s="503"/>
      <c r="P63" s="83"/>
      <c r="Q63" s="83"/>
      <c r="R63" s="83"/>
    </row>
    <row r="64" spans="1:18" x14ac:dyDescent="0.25">
      <c r="N64" s="507"/>
      <c r="O64" s="507"/>
    </row>
    <row r="65" spans="1:14" s="379" customFormat="1" x14ac:dyDescent="0.25">
      <c r="E65" s="380"/>
      <c r="G65" s="381"/>
      <c r="H65" s="382"/>
      <c r="I65" s="383"/>
      <c r="L65" s="141"/>
      <c r="N65" s="141"/>
    </row>
    <row r="66" spans="1:14" s="379" customFormat="1" x14ac:dyDescent="0.25">
      <c r="D66" s="380"/>
      <c r="F66" s="141"/>
      <c r="G66" s="382"/>
      <c r="H66" s="383"/>
      <c r="K66" s="141"/>
      <c r="N66" s="506"/>
    </row>
    <row r="67" spans="1:14" s="379" customFormat="1" x14ac:dyDescent="0.25">
      <c r="D67" s="380"/>
      <c r="F67" s="141"/>
      <c r="G67" s="382"/>
      <c r="H67" s="383"/>
      <c r="K67" s="141"/>
      <c r="N67" s="506"/>
    </row>
    <row r="68" spans="1:14" s="379" customFormat="1" x14ac:dyDescent="0.25">
      <c r="D68" s="380"/>
      <c r="F68" s="141"/>
      <c r="G68" s="382"/>
      <c r="H68" s="383"/>
      <c r="K68" s="141"/>
      <c r="N68" s="506"/>
    </row>
    <row r="69" spans="1:14" x14ac:dyDescent="0.25">
      <c r="D69" s="67"/>
      <c r="E69"/>
      <c r="F69" s="62"/>
      <c r="G69" s="13"/>
      <c r="H69" s="96"/>
      <c r="I69"/>
      <c r="K69" s="62"/>
      <c r="L69"/>
      <c r="M69" s="62"/>
    </row>
    <row r="70" spans="1:14" x14ac:dyDescent="0.25">
      <c r="A70" t="s">
        <v>351</v>
      </c>
      <c r="D70" s="67"/>
      <c r="E70" s="62"/>
      <c r="F70" s="62"/>
      <c r="G70" s="13"/>
      <c r="H70" s="96"/>
      <c r="I70" s="62"/>
      <c r="J70" s="62"/>
      <c r="K70" s="62"/>
      <c r="L70"/>
    </row>
    <row r="71" spans="1:14" ht="17.25" customHeight="1" x14ac:dyDescent="0.25">
      <c r="D71" s="532" t="s">
        <v>375</v>
      </c>
      <c r="E71" s="62"/>
      <c r="F71" s="62"/>
      <c r="G71" s="13"/>
      <c r="H71" s="96"/>
      <c r="I71" s="62"/>
      <c r="J71" s="62"/>
      <c r="K71" s="62"/>
      <c r="L71"/>
    </row>
    <row r="72" spans="1:14" s="61" customFormat="1" x14ac:dyDescent="0.25">
      <c r="A72" s="61" t="s">
        <v>368</v>
      </c>
      <c r="D72" s="61" t="s">
        <v>369</v>
      </c>
      <c r="E72" s="453"/>
      <c r="F72" s="453"/>
      <c r="G72" s="458"/>
      <c r="H72" s="459"/>
      <c r="I72" s="453"/>
      <c r="J72" s="453"/>
      <c r="K72" s="453"/>
    </row>
    <row r="73" spans="1:14" x14ac:dyDescent="0.25">
      <c r="B73" s="61"/>
      <c r="D73" s="67"/>
      <c r="E73" s="62" t="s">
        <v>366</v>
      </c>
      <c r="F73" s="461">
        <f>F45</f>
        <v>504</v>
      </c>
      <c r="G73" s="13"/>
      <c r="H73" s="96"/>
      <c r="I73" s="62"/>
      <c r="J73" s="62"/>
      <c r="K73" s="62"/>
      <c r="L73"/>
    </row>
    <row r="74" spans="1:14" x14ac:dyDescent="0.25">
      <c r="A74" s="368" t="s">
        <v>364</v>
      </c>
      <c r="B74" s="460">
        <f>N45</f>
        <v>168.61599999999999</v>
      </c>
      <c r="D74" s="67"/>
      <c r="E74" s="71" t="s">
        <v>360</v>
      </c>
      <c r="F74" s="71">
        <v>10</v>
      </c>
      <c r="G74" s="13"/>
      <c r="H74" s="96"/>
      <c r="I74" s="62"/>
      <c r="J74" s="62"/>
      <c r="K74" s="62"/>
      <c r="L74"/>
    </row>
    <row r="75" spans="1:14" x14ac:dyDescent="0.25">
      <c r="D75" s="67"/>
      <c r="E75" s="62"/>
      <c r="F75" s="62">
        <f>+F74*F73</f>
        <v>5040</v>
      </c>
      <c r="G75" s="13" t="s">
        <v>367</v>
      </c>
      <c r="H75" s="96"/>
      <c r="I75" s="62"/>
      <c r="J75" s="62"/>
      <c r="K75" s="62"/>
      <c r="L75"/>
    </row>
    <row r="76" spans="1:14" x14ac:dyDescent="0.25">
      <c r="D76" s="67"/>
      <c r="E76" s="453" t="s">
        <v>361</v>
      </c>
      <c r="F76" s="453">
        <f>ROUNDUP((F75/300),0)</f>
        <v>17</v>
      </c>
      <c r="G76" s="13"/>
      <c r="H76" s="96"/>
      <c r="I76" s="62"/>
      <c r="J76" s="62"/>
      <c r="K76" s="62"/>
      <c r="L76"/>
    </row>
    <row r="77" spans="1:14" x14ac:dyDescent="0.25">
      <c r="D77" s="67"/>
      <c r="E77" s="62" t="s">
        <v>362</v>
      </c>
      <c r="F77" s="454">
        <f>+F76*100</f>
        <v>1700</v>
      </c>
      <c r="G77" s="13"/>
      <c r="H77" s="96"/>
      <c r="I77" s="62"/>
      <c r="J77" s="62"/>
      <c r="K77" s="62"/>
      <c r="L77"/>
    </row>
    <row r="78" spans="1:14" x14ac:dyDescent="0.25">
      <c r="D78" s="67"/>
      <c r="E78" s="62"/>
      <c r="F78" s="62"/>
      <c r="G78" s="13"/>
      <c r="H78" s="96"/>
      <c r="I78" s="62"/>
      <c r="J78" s="62"/>
      <c r="K78" s="62"/>
      <c r="L78"/>
    </row>
    <row r="79" spans="1:14" x14ac:dyDescent="0.25">
      <c r="D79" s="455"/>
      <c r="E79" s="456" t="s">
        <v>363</v>
      </c>
      <c r="F79" s="457">
        <f>+F77/10</f>
        <v>170</v>
      </c>
      <c r="G79" s="13"/>
      <c r="H79" s="96"/>
      <c r="I79" s="62"/>
      <c r="J79" s="62"/>
      <c r="K79" s="62"/>
      <c r="L79"/>
    </row>
    <row r="83" spans="1:17" s="379" customFormat="1" x14ac:dyDescent="0.25">
      <c r="D83" s="380"/>
      <c r="E83" s="141"/>
      <c r="F83" s="141"/>
      <c r="G83" s="382"/>
      <c r="H83" s="383"/>
      <c r="I83" s="141"/>
      <c r="J83" s="141"/>
      <c r="K83" s="141"/>
    </row>
    <row r="84" spans="1:17" s="379" customFormat="1" x14ac:dyDescent="0.25">
      <c r="D84" s="380"/>
      <c r="E84" s="141"/>
      <c r="F84" s="141"/>
      <c r="G84" s="382"/>
      <c r="H84" s="383"/>
      <c r="I84" s="141"/>
      <c r="J84" s="141"/>
      <c r="K84" s="141"/>
    </row>
    <row r="85" spans="1:17" s="379" customFormat="1" x14ac:dyDescent="0.25">
      <c r="D85" s="380"/>
      <c r="E85" s="141"/>
      <c r="F85" s="141"/>
      <c r="G85" s="382"/>
      <c r="H85" s="383"/>
      <c r="I85" s="141"/>
      <c r="J85" s="141"/>
      <c r="K85" s="141"/>
    </row>
    <row r="86" spans="1:17" x14ac:dyDescent="0.25">
      <c r="D86" s="67"/>
      <c r="E86" s="62"/>
      <c r="F86" s="62"/>
      <c r="G86" s="13"/>
      <c r="H86" s="96"/>
      <c r="I86" s="62"/>
      <c r="J86" s="62"/>
      <c r="K86" s="62"/>
      <c r="L86"/>
    </row>
    <row r="87" spans="1:17" x14ac:dyDescent="0.25">
      <c r="D87" s="67"/>
      <c r="E87" s="62"/>
      <c r="F87" s="62"/>
      <c r="G87" s="13"/>
      <c r="H87" s="96"/>
      <c r="I87" s="62"/>
      <c r="J87" s="62"/>
      <c r="K87" s="62"/>
      <c r="L87"/>
    </row>
    <row r="88" spans="1:17" x14ac:dyDescent="0.25">
      <c r="A88" t="s">
        <v>387</v>
      </c>
      <c r="D88" s="67"/>
      <c r="E88" s="62"/>
      <c r="F88" s="62"/>
      <c r="G88" t="s">
        <v>387</v>
      </c>
      <c r="H88"/>
      <c r="I88"/>
      <c r="J88" s="67"/>
      <c r="K88" s="62"/>
      <c r="L88"/>
    </row>
    <row r="89" spans="1:17" x14ac:dyDescent="0.25">
      <c r="A89" t="s">
        <v>388</v>
      </c>
      <c r="D89" s="67"/>
      <c r="E89" s="62"/>
      <c r="F89" s="62"/>
      <c r="G89" s="64" t="s">
        <v>390</v>
      </c>
      <c r="H89"/>
      <c r="I89"/>
      <c r="J89" s="67"/>
      <c r="K89" s="62"/>
      <c r="L89"/>
    </row>
    <row r="90" spans="1:17" x14ac:dyDescent="0.25">
      <c r="D90" s="67"/>
      <c r="E90" s="62"/>
      <c r="F90" s="62"/>
      <c r="G90"/>
      <c r="H90"/>
      <c r="I90"/>
      <c r="J90" s="67"/>
      <c r="K90" s="62"/>
      <c r="L90"/>
    </row>
    <row r="91" spans="1:17" x14ac:dyDescent="0.25">
      <c r="A91" s="587"/>
      <c r="B91" s="587" t="s">
        <v>389</v>
      </c>
      <c r="C91" s="64" t="s">
        <v>113</v>
      </c>
      <c r="D91" s="593" t="s">
        <v>202</v>
      </c>
      <c r="E91" s="588"/>
      <c r="F91" s="588"/>
      <c r="G91" s="587"/>
      <c r="H91" s="587" t="s">
        <v>389</v>
      </c>
      <c r="I91" s="64" t="s">
        <v>113</v>
      </c>
      <c r="J91" s="593" t="s">
        <v>202</v>
      </c>
      <c r="K91" s="588"/>
      <c r="L91" s="587"/>
      <c r="M91" s="587"/>
      <c r="N91" s="587"/>
      <c r="O91" s="587"/>
      <c r="P91" s="587"/>
      <c r="Q91" s="587"/>
    </row>
    <row r="92" spans="1:17" x14ac:dyDescent="0.25">
      <c r="A92" s="599">
        <v>0</v>
      </c>
      <c r="B92" s="66">
        <f>K45</f>
        <v>280</v>
      </c>
      <c r="C92" s="65">
        <f>J45</f>
        <v>111.384</v>
      </c>
      <c r="D92" s="603">
        <f>+B92-C92</f>
        <v>168.61599999999999</v>
      </c>
      <c r="E92" s="588"/>
      <c r="F92" s="588"/>
      <c r="G92" s="599">
        <v>0</v>
      </c>
      <c r="H92" s="602">
        <f>K33</f>
        <v>225</v>
      </c>
      <c r="I92" s="600">
        <f>J33</f>
        <v>104.34200000000001</v>
      </c>
      <c r="J92" s="601">
        <f>+H92-I92</f>
        <v>120.65799999999999</v>
      </c>
      <c r="K92" s="588"/>
      <c r="L92" s="587"/>
      <c r="M92" s="587"/>
      <c r="N92" s="587"/>
      <c r="O92" s="587"/>
      <c r="P92" s="587"/>
      <c r="Q92" s="587"/>
    </row>
    <row r="93" spans="1:17" x14ac:dyDescent="0.25">
      <c r="A93" s="596">
        <v>0.1</v>
      </c>
      <c r="B93" s="66">
        <f>0.9*B92</f>
        <v>252</v>
      </c>
      <c r="C93" s="65">
        <f>C92</f>
        <v>111.384</v>
      </c>
      <c r="D93" s="603">
        <f t="shared" ref="D93:D96" si="4">+B93-C93</f>
        <v>140.61599999999999</v>
      </c>
      <c r="E93" s="225"/>
      <c r="F93" s="225"/>
      <c r="G93" s="596">
        <v>0.1</v>
      </c>
      <c r="H93" s="587">
        <f>0.9*H92</f>
        <v>202.5</v>
      </c>
      <c r="I93" s="600">
        <f>I92</f>
        <v>104.34200000000001</v>
      </c>
      <c r="J93" s="601">
        <f t="shared" ref="J93:J96" si="5">+H93-I93</f>
        <v>98.157999999999987</v>
      </c>
      <c r="K93" s="225"/>
      <c r="L93" s="64"/>
      <c r="M93" s="64"/>
      <c r="N93" s="64"/>
      <c r="O93" s="64"/>
      <c r="P93" s="64"/>
      <c r="Q93" s="64"/>
    </row>
    <row r="94" spans="1:17" x14ac:dyDescent="0.25">
      <c r="A94" s="597">
        <v>0.15</v>
      </c>
      <c r="B94" s="66">
        <f>+B92*0.85</f>
        <v>238</v>
      </c>
      <c r="C94" s="65">
        <f t="shared" ref="C94:C96" si="6">C93</f>
        <v>111.384</v>
      </c>
      <c r="D94" s="603">
        <f t="shared" si="4"/>
        <v>126.616</v>
      </c>
      <c r="E94" s="498"/>
      <c r="F94" s="498"/>
      <c r="G94" s="597">
        <v>0.15</v>
      </c>
      <c r="H94" s="587">
        <f>+H92*0.85</f>
        <v>191.25</v>
      </c>
      <c r="I94" s="600">
        <f t="shared" ref="I94:I96" si="7">I93</f>
        <v>104.34200000000001</v>
      </c>
      <c r="J94" s="601">
        <f t="shared" si="5"/>
        <v>86.907999999999987</v>
      </c>
      <c r="K94" s="498"/>
      <c r="L94" s="507"/>
      <c r="M94" s="507"/>
      <c r="N94" s="507"/>
      <c r="O94" s="507"/>
      <c r="P94" s="507"/>
      <c r="Q94" s="507"/>
    </row>
    <row r="95" spans="1:17" x14ac:dyDescent="0.25">
      <c r="A95" s="598">
        <v>0.2</v>
      </c>
      <c r="B95" s="66">
        <f>0.8*B92</f>
        <v>224</v>
      </c>
      <c r="C95" s="65">
        <f t="shared" si="6"/>
        <v>111.384</v>
      </c>
      <c r="D95" s="604">
        <f t="shared" si="4"/>
        <v>112.616</v>
      </c>
      <c r="E95" s="62"/>
      <c r="F95" s="62"/>
      <c r="G95" s="598">
        <v>0.2</v>
      </c>
      <c r="H95" s="587">
        <f>0.8*H92</f>
        <v>180</v>
      </c>
      <c r="I95" s="600">
        <f t="shared" si="7"/>
        <v>104.34200000000001</v>
      </c>
      <c r="J95" s="601">
        <f t="shared" si="5"/>
        <v>75.657999999999987</v>
      </c>
      <c r="K95" s="62"/>
      <c r="L95"/>
    </row>
    <row r="96" spans="1:17" x14ac:dyDescent="0.25">
      <c r="A96" s="598">
        <v>0.25</v>
      </c>
      <c r="B96" s="66">
        <f>0.75*B92</f>
        <v>210</v>
      </c>
      <c r="C96" s="65">
        <f t="shared" si="6"/>
        <v>111.384</v>
      </c>
      <c r="D96" s="604">
        <f t="shared" si="4"/>
        <v>98.616</v>
      </c>
      <c r="E96" s="62"/>
      <c r="F96" s="62"/>
      <c r="G96" s="598">
        <v>0.25</v>
      </c>
      <c r="H96" s="587">
        <f>0.755*H92</f>
        <v>169.875</v>
      </c>
      <c r="I96" s="600">
        <f t="shared" si="7"/>
        <v>104.34200000000001</v>
      </c>
      <c r="J96" s="601">
        <f t="shared" si="5"/>
        <v>65.532999999999987</v>
      </c>
      <c r="K96" s="62"/>
      <c r="L96"/>
    </row>
  </sheetData>
  <mergeCells count="1">
    <mergeCell ref="C4:D4"/>
  </mergeCells>
  <dataValidations count="1">
    <dataValidation type="list" allowBlank="1" showInputMessage="1" showErrorMessage="1" sqref="B29:B32 B16:B19 B41:B44 B53:B56" xr:uid="{DEE51986-49CC-4791-BA65-9C5663679EDA}">
      <formula1>$N$1:$N$3</formula1>
    </dataValidation>
  </dataValidations>
  <pageMargins left="0.7" right="0.7" top="0.75" bottom="0.75" header="0.3" footer="0.3"/>
  <pageSetup scale="49" fitToHeight="11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2CA1-9A38-4E1B-B8B7-8D7E6A027BA6}">
  <sheetPr codeName="Sheet10">
    <pageSetUpPr fitToPage="1"/>
  </sheetPr>
  <dimension ref="A1:R134"/>
  <sheetViews>
    <sheetView topLeftCell="A94" zoomScaleNormal="100" workbookViewId="0">
      <selection activeCell="B102" sqref="B102"/>
    </sheetView>
  </sheetViews>
  <sheetFormatPr defaultColWidth="12.125" defaultRowHeight="15.75" x14ac:dyDescent="0.25"/>
  <cols>
    <col min="1" max="1" width="10.125" customWidth="1"/>
    <col min="4" max="4" width="12.125" style="67"/>
    <col min="6" max="6" width="12.125" style="95"/>
    <col min="7" max="7" width="12.125" style="13"/>
    <col min="8" max="8" width="12.125" style="96"/>
    <col min="11" max="11" width="12.125" style="62"/>
    <col min="13" max="13" width="12.125" style="498"/>
    <col min="14" max="14" width="12.125" style="62"/>
  </cols>
  <sheetData>
    <row r="1" spans="1:18" ht="30.75" customHeight="1" x14ac:dyDescent="0.55000000000000004">
      <c r="A1" s="234" t="s">
        <v>10</v>
      </c>
      <c r="B1" s="236"/>
      <c r="C1" s="236"/>
      <c r="I1" s="158"/>
      <c r="J1" s="287"/>
      <c r="K1" s="117"/>
      <c r="N1" s="389" t="s">
        <v>203</v>
      </c>
    </row>
    <row r="2" spans="1:18" s="98" customFormat="1" x14ac:dyDescent="0.25">
      <c r="A2" s="87"/>
      <c r="B2" s="200">
        <f>'Pep Costs'!B16</f>
        <v>37</v>
      </c>
      <c r="C2" s="87" t="s">
        <v>142</v>
      </c>
      <c r="D2" s="113"/>
      <c r="E2" s="117"/>
      <c r="F2" s="117"/>
      <c r="G2" s="113"/>
      <c r="H2" s="117"/>
      <c r="I2" s="429"/>
      <c r="J2" s="430"/>
      <c r="K2" s="471"/>
      <c r="L2" s="117"/>
      <c r="M2" s="499"/>
      <c r="N2" s="490" t="s">
        <v>187</v>
      </c>
      <c r="O2" s="117"/>
      <c r="P2" s="117"/>
      <c r="Q2" s="117"/>
      <c r="R2" s="117"/>
    </row>
    <row r="3" spans="1:18" s="98" customFormat="1" x14ac:dyDescent="0.25">
      <c r="A3" s="87"/>
      <c r="B3" s="170">
        <v>3.3</v>
      </c>
      <c r="C3" s="170" t="s">
        <v>185</v>
      </c>
      <c r="D3" s="113"/>
      <c r="E3" s="117"/>
      <c r="F3" s="117"/>
      <c r="G3" s="113"/>
      <c r="H3" s="117"/>
      <c r="I3" s="117"/>
      <c r="J3" s="117"/>
      <c r="K3" s="152"/>
      <c r="L3" s="117"/>
      <c r="M3" s="499"/>
      <c r="N3" s="490" t="s">
        <v>206</v>
      </c>
      <c r="O3" s="117"/>
      <c r="P3" s="117"/>
      <c r="Q3" s="117"/>
      <c r="R3" s="117"/>
    </row>
    <row r="4" spans="1:18" s="98" customFormat="1" ht="31.5" customHeight="1" x14ac:dyDescent="0.4">
      <c r="A4" s="87"/>
      <c r="B4" s="142">
        <v>15</v>
      </c>
      <c r="C4" s="493" t="s">
        <v>230</v>
      </c>
      <c r="D4" s="387"/>
      <c r="E4" s="517" t="s">
        <v>349</v>
      </c>
      <c r="F4" s="518" t="s">
        <v>144</v>
      </c>
      <c r="G4" s="113"/>
      <c r="H4" s="117"/>
      <c r="I4" s="158"/>
      <c r="J4" s="117"/>
      <c r="K4" s="152"/>
      <c r="L4" s="117"/>
      <c r="M4" s="499"/>
      <c r="N4" s="519"/>
      <c r="O4" s="117"/>
      <c r="P4" s="117"/>
      <c r="Q4" s="117"/>
      <c r="R4" s="117"/>
    </row>
    <row r="5" spans="1:18" s="98" customFormat="1" x14ac:dyDescent="0.25">
      <c r="A5" s="314"/>
      <c r="B5" s="87">
        <f>SUM(B2:B4)</f>
        <v>55.3</v>
      </c>
      <c r="C5" s="87"/>
      <c r="D5" s="387"/>
      <c r="E5" s="391">
        <v>100</v>
      </c>
      <c r="F5" s="130">
        <f>+E5+B5</f>
        <v>155.30000000000001</v>
      </c>
      <c r="G5" s="113"/>
      <c r="H5" s="117"/>
      <c r="I5" s="158"/>
      <c r="J5" s="117"/>
      <c r="K5" s="152"/>
      <c r="L5" s="117"/>
      <c r="M5" s="499"/>
      <c r="N5" s="119"/>
      <c r="O5" s="117"/>
      <c r="P5" s="117"/>
      <c r="Q5" s="117"/>
      <c r="R5" s="117"/>
    </row>
    <row r="6" spans="1:18" s="98" customFormat="1" x14ac:dyDescent="0.25">
      <c r="A6" s="87"/>
      <c r="B6" s="87"/>
      <c r="C6" s="87"/>
      <c r="D6" s="389"/>
      <c r="E6" s="394"/>
      <c r="F6" s="130"/>
      <c r="G6" s="397"/>
      <c r="H6" s="117"/>
      <c r="I6" s="80"/>
      <c r="K6" s="152"/>
      <c r="L6" s="153"/>
      <c r="M6" s="428"/>
      <c r="N6" s="289"/>
      <c r="O6" s="117"/>
      <c r="P6" s="117"/>
      <c r="Q6" s="117"/>
      <c r="R6" s="117"/>
    </row>
    <row r="7" spans="1:18" s="98" customFormat="1" x14ac:dyDescent="0.25">
      <c r="A7" s="225" t="s">
        <v>189</v>
      </c>
      <c r="B7" s="87">
        <f>+B5/300</f>
        <v>0.18433333333333332</v>
      </c>
      <c r="C7" s="87"/>
      <c r="D7" s="389"/>
      <c r="E7" s="432" t="s">
        <v>189</v>
      </c>
      <c r="F7" s="392">
        <f>+F5/300</f>
        <v>0.51766666666666672</v>
      </c>
      <c r="G7" s="117"/>
      <c r="H7" s="80"/>
      <c r="J7" s="152"/>
      <c r="K7" s="153"/>
      <c r="L7" s="117"/>
      <c r="M7" s="428"/>
      <c r="N7" s="289"/>
      <c r="O7" s="117"/>
      <c r="P7" s="117"/>
      <c r="Q7" s="117"/>
    </row>
    <row r="8" spans="1:18" s="98" customFormat="1" x14ac:dyDescent="0.25">
      <c r="A8" s="62"/>
      <c r="B8" s="87"/>
      <c r="D8" s="389"/>
      <c r="E8" s="388"/>
      <c r="F8" s="397"/>
      <c r="G8" s="117"/>
      <c r="H8" s="80"/>
      <c r="J8" s="152"/>
      <c r="K8" s="153"/>
      <c r="L8" s="117"/>
      <c r="M8" s="428"/>
      <c r="N8" s="289"/>
      <c r="O8" s="117"/>
      <c r="P8" s="117"/>
      <c r="Q8" s="117"/>
    </row>
    <row r="9" spans="1:18" s="161" customFormat="1" x14ac:dyDescent="0.25">
      <c r="A9" s="141"/>
      <c r="B9" s="160"/>
      <c r="D9" s="307"/>
      <c r="E9" s="238"/>
      <c r="F9" s="239"/>
      <c r="H9" s="164"/>
      <c r="J9" s="165"/>
      <c r="K9" s="166"/>
      <c r="M9" s="523"/>
      <c r="N9" s="401"/>
    </row>
    <row r="10" spans="1:18" s="161" customFormat="1" x14ac:dyDescent="0.25">
      <c r="A10" s="159"/>
      <c r="B10" s="160"/>
      <c r="D10" s="162"/>
      <c r="E10" s="163"/>
      <c r="H10" s="164"/>
      <c r="J10" s="165"/>
      <c r="K10" s="166"/>
      <c r="M10" s="523"/>
      <c r="N10" s="401"/>
    </row>
    <row r="11" spans="1:18" s="174" customFormat="1" x14ac:dyDescent="0.25">
      <c r="A11" s="171"/>
      <c r="B11" s="172"/>
      <c r="C11" s="173"/>
      <c r="D11" s="175"/>
      <c r="E11" s="176"/>
      <c r="F11" s="177"/>
      <c r="G11" s="172"/>
      <c r="H11" s="178"/>
      <c r="I11" s="179"/>
      <c r="J11" s="180"/>
      <c r="K11" s="181"/>
      <c r="L11" s="186"/>
      <c r="M11" s="524"/>
      <c r="N11" s="520"/>
      <c r="O11" s="187"/>
      <c r="P11" s="188"/>
    </row>
    <row r="12" spans="1:18" s="83" customFormat="1" x14ac:dyDescent="0.25">
      <c r="A12" s="168" t="s">
        <v>218</v>
      </c>
      <c r="B12" s="90"/>
      <c r="C12" s="158"/>
      <c r="D12" s="189"/>
      <c r="E12" s="190"/>
      <c r="F12" s="191"/>
      <c r="G12" s="90"/>
      <c r="H12" s="84"/>
      <c r="I12" s="85"/>
      <c r="J12" s="86"/>
      <c r="K12" s="91"/>
      <c r="L12" s="85"/>
      <c r="M12" s="525"/>
      <c r="N12" s="492"/>
    </row>
    <row r="13" spans="1:18" s="98" customFormat="1" x14ac:dyDescent="0.25">
      <c r="A13" s="15"/>
      <c r="B13" s="87"/>
      <c r="C13" s="80"/>
      <c r="D13" s="115"/>
      <c r="E13" s="116"/>
      <c r="G13" s="117"/>
      <c r="H13" s="80"/>
      <c r="J13" s="152"/>
      <c r="K13" s="153"/>
      <c r="L13" s="117"/>
      <c r="M13" s="428"/>
      <c r="N13" s="289"/>
      <c r="O13" s="117"/>
      <c r="P13" s="117"/>
      <c r="Q13" s="117"/>
    </row>
    <row r="14" spans="1:18" s="98" customFormat="1" x14ac:dyDescent="0.25">
      <c r="A14" s="15"/>
      <c r="B14" s="87"/>
      <c r="C14" s="80"/>
      <c r="D14" s="115"/>
      <c r="E14" s="116"/>
      <c r="G14" s="117"/>
      <c r="H14" s="80"/>
      <c r="K14" s="280" t="s">
        <v>144</v>
      </c>
      <c r="L14" s="117"/>
      <c r="M14" s="428"/>
      <c r="N14" s="289"/>
      <c r="O14" s="117"/>
      <c r="P14" s="117"/>
      <c r="Q14" s="117"/>
    </row>
    <row r="15" spans="1:18" s="98" customFormat="1" x14ac:dyDescent="0.25">
      <c r="A15" s="15"/>
      <c r="B15" s="121"/>
      <c r="C15" s="80"/>
      <c r="D15" s="115"/>
      <c r="E15" s="116"/>
      <c r="G15" s="117"/>
      <c r="H15" s="261">
        <f>ROUNDUP(F21,0)</f>
        <v>285</v>
      </c>
      <c r="I15" s="262" t="s">
        <v>201</v>
      </c>
      <c r="J15" s="87">
        <f>+B7*F21</f>
        <v>52.534999999999997</v>
      </c>
      <c r="K15" s="264">
        <f>+F21*F7</f>
        <v>147.53500000000003</v>
      </c>
      <c r="L15" s="117"/>
      <c r="M15" s="428"/>
      <c r="N15" s="289"/>
      <c r="O15" s="117"/>
      <c r="P15" s="117"/>
      <c r="Q15" s="117"/>
    </row>
    <row r="16" spans="1:18" s="125" customFormat="1" ht="31.5" x14ac:dyDescent="0.25">
      <c r="A16" s="182"/>
      <c r="B16" s="183" t="s">
        <v>199</v>
      </c>
      <c r="C16" s="184" t="s">
        <v>196</v>
      </c>
      <c r="D16" s="183" t="s">
        <v>197</v>
      </c>
      <c r="E16" s="169" t="s">
        <v>198</v>
      </c>
      <c r="F16" s="185" t="s">
        <v>188</v>
      </c>
      <c r="G16" s="124"/>
      <c r="H16" s="265">
        <v>0</v>
      </c>
      <c r="I16" s="309" t="s">
        <v>177</v>
      </c>
      <c r="J16" s="310">
        <f>+H16*45</f>
        <v>0</v>
      </c>
      <c r="K16" s="311">
        <f>+H16*85</f>
        <v>0</v>
      </c>
      <c r="L16" s="124"/>
      <c r="M16" s="526"/>
      <c r="N16" s="432"/>
      <c r="O16" s="124"/>
      <c r="P16" s="124"/>
      <c r="Q16" s="124"/>
    </row>
    <row r="17" spans="1:17" s="81" customFormat="1" x14ac:dyDescent="0.25">
      <c r="A17" s="306" t="s">
        <v>219</v>
      </c>
      <c r="B17" s="251" t="s">
        <v>203</v>
      </c>
      <c r="C17" s="252">
        <v>1000</v>
      </c>
      <c r="D17" s="251">
        <v>15</v>
      </c>
      <c r="E17" s="254">
        <f>IF(B17="Daily",7, IF(B17="Weekly",1, IF(B17="Every Other Day",4,"")))</f>
        <v>7</v>
      </c>
      <c r="F17" s="255">
        <f>+D17*E17</f>
        <v>105</v>
      </c>
      <c r="G17" s="83"/>
      <c r="H17" s="266">
        <f>IF(E21&gt;=25, E21+2, E21+1)</f>
        <v>20</v>
      </c>
      <c r="I17" s="305" t="s">
        <v>217</v>
      </c>
      <c r="J17" s="87"/>
      <c r="K17" s="263"/>
      <c r="L17" s="83"/>
      <c r="M17" s="522"/>
      <c r="N17" s="492"/>
      <c r="O17" s="83"/>
      <c r="P17" s="83"/>
      <c r="Q17" s="83"/>
    </row>
    <row r="18" spans="1:17" s="81" customFormat="1" x14ac:dyDescent="0.25">
      <c r="A18" s="306" t="s">
        <v>219</v>
      </c>
      <c r="B18" s="251" t="s">
        <v>187</v>
      </c>
      <c r="C18" s="252">
        <v>1000</v>
      </c>
      <c r="D18" s="251">
        <v>15</v>
      </c>
      <c r="E18" s="256">
        <f>IF(B18="Daily",7, IF(B18="Weekly",1, IF(B18="Every Other Day",4,"")))</f>
        <v>4</v>
      </c>
      <c r="F18" s="255">
        <f t="shared" ref="F18:F20" si="0">+D18*E18</f>
        <v>60</v>
      </c>
      <c r="G18" s="83"/>
      <c r="H18" s="266">
        <f>ROUNDUP(F22,0)</f>
        <v>1</v>
      </c>
      <c r="I18" s="305" t="s">
        <v>190</v>
      </c>
      <c r="J18" s="87"/>
      <c r="K18" s="263"/>
      <c r="L18" s="83"/>
      <c r="M18" s="522"/>
      <c r="N18" s="492"/>
      <c r="O18" s="83"/>
      <c r="P18" s="83"/>
      <c r="Q18" s="83"/>
    </row>
    <row r="19" spans="1:17" s="81" customFormat="1" x14ac:dyDescent="0.25">
      <c r="A19" s="306" t="s">
        <v>219</v>
      </c>
      <c r="B19" s="251" t="s">
        <v>206</v>
      </c>
      <c r="C19" s="252">
        <v>1000</v>
      </c>
      <c r="D19" s="251">
        <v>15</v>
      </c>
      <c r="E19" s="256">
        <f>IF(B19="Daily",7, IF(B19="Weekly",1, IF(B19="Every Other Day",4,"")))</f>
        <v>1</v>
      </c>
      <c r="F19" s="255">
        <f t="shared" si="0"/>
        <v>15</v>
      </c>
      <c r="G19" s="83"/>
      <c r="H19" s="266">
        <f>H17</f>
        <v>20</v>
      </c>
      <c r="I19" s="305" t="s">
        <v>200</v>
      </c>
      <c r="J19" s="87"/>
      <c r="K19" s="263"/>
      <c r="L19" s="83"/>
      <c r="M19" s="522"/>
      <c r="N19" s="492"/>
      <c r="O19" s="83"/>
      <c r="P19" s="83"/>
      <c r="Q19" s="83"/>
    </row>
    <row r="20" spans="1:17" s="81" customFormat="1" x14ac:dyDescent="0.25">
      <c r="A20" s="306" t="s">
        <v>219</v>
      </c>
      <c r="B20" s="257" t="s">
        <v>203</v>
      </c>
      <c r="C20" s="258">
        <v>1000</v>
      </c>
      <c r="D20" s="257">
        <v>15</v>
      </c>
      <c r="E20" s="259">
        <f>IF(B20="Daily",7, IF(B20="Weekly",1, IF(B20="Every Other Day",4,"")))</f>
        <v>7</v>
      </c>
      <c r="F20" s="260">
        <f t="shared" si="0"/>
        <v>105</v>
      </c>
      <c r="G20" s="83"/>
      <c r="H20" s="252">
        <v>0</v>
      </c>
      <c r="I20" s="304" t="s">
        <v>192</v>
      </c>
      <c r="J20" s="142">
        <f>H20*3.65</f>
        <v>0</v>
      </c>
      <c r="K20" s="267"/>
      <c r="L20" s="83"/>
      <c r="M20" s="522"/>
      <c r="N20" s="492"/>
      <c r="O20" s="83"/>
      <c r="P20" s="83"/>
      <c r="Q20" s="83"/>
    </row>
    <row r="21" spans="1:17" s="81" customFormat="1" x14ac:dyDescent="0.25">
      <c r="A21" s="88"/>
      <c r="B21" s="79"/>
      <c r="C21" s="80"/>
      <c r="D21" s="82"/>
      <c r="E21" s="167">
        <f>SUM(E17:E20)</f>
        <v>19</v>
      </c>
      <c r="F21" s="279">
        <f>SUM(F17:F20)</f>
        <v>285</v>
      </c>
      <c r="G21" s="83"/>
      <c r="H21" s="266"/>
      <c r="I21" s="253"/>
      <c r="J21" s="128">
        <f>SUM(J15:J20)</f>
        <v>52.534999999999997</v>
      </c>
      <c r="K21" s="269">
        <f>ROUNDUP(SUM(K15:K20),0)</f>
        <v>148</v>
      </c>
      <c r="L21" s="83"/>
      <c r="M21" s="522" t="s">
        <v>202</v>
      </c>
      <c r="N21" s="522">
        <f>+K21-J21</f>
        <v>95.465000000000003</v>
      </c>
      <c r="O21" s="83"/>
      <c r="P21" s="83"/>
      <c r="Q21" s="83"/>
    </row>
    <row r="22" spans="1:17" s="81" customFormat="1" x14ac:dyDescent="0.25">
      <c r="A22" s="88"/>
      <c r="B22" s="79"/>
      <c r="C22" s="80"/>
      <c r="D22" s="82"/>
      <c r="E22" s="89" t="s">
        <v>204</v>
      </c>
      <c r="F22" s="110">
        <f>+F21/300</f>
        <v>0.95</v>
      </c>
      <c r="G22" s="83"/>
      <c r="H22" s="80"/>
      <c r="I22" s="131" t="s">
        <v>189</v>
      </c>
      <c r="J22" s="113">
        <f>+J21/H15</f>
        <v>0.18433333333333332</v>
      </c>
      <c r="K22" s="112">
        <f>+K21/H15</f>
        <v>0.51929824561403504</v>
      </c>
      <c r="L22" s="83"/>
      <c r="M22" s="522"/>
      <c r="N22" s="492"/>
      <c r="O22" s="83"/>
      <c r="P22" s="83"/>
      <c r="Q22" s="83"/>
    </row>
    <row r="23" spans="1:17" s="81" customFormat="1" x14ac:dyDescent="0.25">
      <c r="A23" s="88"/>
      <c r="B23" s="79"/>
      <c r="C23" s="80"/>
      <c r="D23" s="82"/>
      <c r="E23" s="89"/>
      <c r="F23" s="110"/>
      <c r="G23" s="83"/>
      <c r="H23" s="80"/>
      <c r="I23" s="131"/>
      <c r="J23" s="113"/>
      <c r="K23" s="112"/>
      <c r="L23" s="83"/>
      <c r="M23" s="522"/>
      <c r="N23" s="492"/>
      <c r="O23" s="83"/>
      <c r="P23" s="83"/>
      <c r="Q23" s="83"/>
    </row>
    <row r="24" spans="1:17" s="174" customFormat="1" x14ac:dyDescent="0.25">
      <c r="A24" s="171"/>
      <c r="B24" s="172"/>
      <c r="C24" s="173"/>
      <c r="D24" s="175"/>
      <c r="E24" s="176"/>
      <c r="F24" s="247"/>
      <c r="H24" s="173"/>
      <c r="I24" s="247"/>
      <c r="J24" s="250"/>
      <c r="K24" s="249"/>
      <c r="M24" s="527"/>
      <c r="N24" s="489"/>
    </row>
    <row r="25" spans="1:17" s="273" customFormat="1" x14ac:dyDescent="0.25">
      <c r="A25" s="312"/>
      <c r="B25" s="272"/>
      <c r="C25" s="164"/>
      <c r="D25" s="274"/>
      <c r="E25" s="275"/>
      <c r="F25" s="276"/>
      <c r="H25" s="164"/>
      <c r="I25" s="276"/>
      <c r="J25" s="277"/>
      <c r="K25" s="278"/>
      <c r="M25" s="528"/>
      <c r="N25" s="521"/>
    </row>
    <row r="26" spans="1:17" s="273" customFormat="1" x14ac:dyDescent="0.25">
      <c r="A26" s="312"/>
      <c r="B26" s="272"/>
      <c r="C26" s="164"/>
      <c r="D26" s="274"/>
      <c r="E26" s="275"/>
      <c r="F26" s="276"/>
      <c r="H26" s="164"/>
      <c r="I26" s="276"/>
      <c r="J26" s="277"/>
      <c r="K26" s="278"/>
      <c r="M26" s="528"/>
      <c r="N26" s="521"/>
    </row>
    <row r="27" spans="1:17" s="81" customFormat="1" x14ac:dyDescent="0.25">
      <c r="A27" s="88"/>
      <c r="B27" s="79"/>
      <c r="C27" s="80"/>
      <c r="D27" s="82"/>
      <c r="E27" s="109"/>
      <c r="G27" s="83"/>
      <c r="H27" s="80"/>
      <c r="I27" s="131"/>
      <c r="J27" s="131"/>
      <c r="K27" s="131"/>
      <c r="L27" s="83"/>
      <c r="M27" s="522"/>
      <c r="N27" s="492"/>
      <c r="O27" s="83"/>
      <c r="P27" s="83"/>
      <c r="Q27" s="83"/>
    </row>
    <row r="28" spans="1:17" s="98" customFormat="1" x14ac:dyDescent="0.25">
      <c r="A28" s="15"/>
      <c r="B28" s="87"/>
      <c r="C28" s="80"/>
      <c r="D28" s="115"/>
      <c r="E28" s="116"/>
      <c r="G28" s="117"/>
      <c r="H28" s="80"/>
      <c r="K28" s="114" t="s">
        <v>144</v>
      </c>
      <c r="L28" s="117"/>
      <c r="M28" s="428"/>
      <c r="N28" s="289"/>
      <c r="O28" s="117"/>
      <c r="P28" s="117"/>
      <c r="Q28" s="117"/>
    </row>
    <row r="29" spans="1:17" s="98" customFormat="1" x14ac:dyDescent="0.25">
      <c r="A29" s="15"/>
      <c r="B29" s="121"/>
      <c r="C29" s="80"/>
      <c r="D29" s="115"/>
      <c r="E29" s="116"/>
      <c r="G29" s="117"/>
      <c r="H29" s="118">
        <f>ROUNDUP(F35,0)</f>
        <v>294</v>
      </c>
      <c r="I29" s="119" t="s">
        <v>201</v>
      </c>
      <c r="J29" s="87">
        <f>F35*B7</f>
        <v>54.193999999999996</v>
      </c>
      <c r="K29" s="120">
        <f>+F35*F7</f>
        <v>152.19400000000002</v>
      </c>
      <c r="L29" s="117"/>
      <c r="M29" s="428"/>
      <c r="N29" s="289"/>
      <c r="O29" s="117"/>
      <c r="P29" s="117"/>
      <c r="Q29" s="117"/>
    </row>
    <row r="30" spans="1:17" s="125" customFormat="1" ht="31.5" x14ac:dyDescent="0.25">
      <c r="A30" s="653" t="s">
        <v>266</v>
      </c>
      <c r="B30" s="148" t="s">
        <v>199</v>
      </c>
      <c r="C30" s="149" t="s">
        <v>196</v>
      </c>
      <c r="D30" s="148" t="s">
        <v>197</v>
      </c>
      <c r="E30" s="122" t="s">
        <v>198</v>
      </c>
      <c r="F30" s="150" t="s">
        <v>188</v>
      </c>
      <c r="G30" s="124"/>
      <c r="H30" s="302">
        <v>0</v>
      </c>
      <c r="I30" s="322" t="s">
        <v>177</v>
      </c>
      <c r="J30" s="310">
        <f>+H30*45</f>
        <v>0</v>
      </c>
      <c r="K30" s="370">
        <f>H30*85</f>
        <v>0</v>
      </c>
      <c r="L30" s="371"/>
      <c r="M30" s="526"/>
      <c r="N30" s="432"/>
      <c r="O30" s="124"/>
      <c r="P30" s="124"/>
      <c r="Q30" s="124"/>
    </row>
    <row r="31" spans="1:17" s="81" customFormat="1" x14ac:dyDescent="0.25">
      <c r="A31" s="78" t="s">
        <v>108</v>
      </c>
      <c r="B31" s="199" t="s">
        <v>203</v>
      </c>
      <c r="C31" s="192">
        <v>100</v>
      </c>
      <c r="D31" s="199">
        <v>6</v>
      </c>
      <c r="E31" s="145">
        <f>IF(B31="Daily",7, IF(B31="Weekly",1, IF(B31="Every Other Day",4,"")))</f>
        <v>7</v>
      </c>
      <c r="F31" s="146">
        <f>+D31*E31</f>
        <v>42</v>
      </c>
      <c r="G31" s="83"/>
      <c r="H31" s="80">
        <f>IF(E35&gt;=25, E35+2, E35+1)</f>
        <v>30</v>
      </c>
      <c r="I31" s="62" t="s">
        <v>217</v>
      </c>
      <c r="J31" s="87"/>
      <c r="K31" s="93"/>
      <c r="L31" s="83"/>
      <c r="M31" s="522"/>
      <c r="N31" s="492"/>
      <c r="O31" s="83"/>
      <c r="P31" s="83"/>
      <c r="Q31" s="83"/>
    </row>
    <row r="32" spans="1:17" s="81" customFormat="1" x14ac:dyDescent="0.25">
      <c r="A32" s="78" t="s">
        <v>109</v>
      </c>
      <c r="B32" s="199" t="s">
        <v>203</v>
      </c>
      <c r="C32" s="192">
        <v>150</v>
      </c>
      <c r="D32" s="199">
        <v>9</v>
      </c>
      <c r="E32" s="147">
        <f>IF(B32="Daily",7, IF(B32="Weekly",1, IF(B32="Every Other Day",4,"")))</f>
        <v>7</v>
      </c>
      <c r="F32" s="146">
        <f t="shared" ref="F32:F34" si="1">+D32*E32</f>
        <v>63</v>
      </c>
      <c r="G32" s="83"/>
      <c r="H32" s="80">
        <f>ROUNDUP(F36,0)</f>
        <v>1</v>
      </c>
      <c r="I32" s="62" t="s">
        <v>190</v>
      </c>
      <c r="J32" s="87"/>
      <c r="K32" s="93"/>
      <c r="L32" s="83"/>
      <c r="M32" s="522"/>
      <c r="N32" s="492"/>
      <c r="O32" s="83"/>
      <c r="P32" s="83"/>
      <c r="Q32" s="83"/>
    </row>
    <row r="33" spans="1:17" s="81" customFormat="1" x14ac:dyDescent="0.25">
      <c r="A33" s="78" t="s">
        <v>110</v>
      </c>
      <c r="B33" s="199" t="s">
        <v>203</v>
      </c>
      <c r="C33" s="192">
        <v>200</v>
      </c>
      <c r="D33" s="199">
        <v>12</v>
      </c>
      <c r="E33" s="147">
        <f>IF(B33="Daily",7, IF(B33="Weekly",1, IF(B33="Every Other Day",4,"")))</f>
        <v>7</v>
      </c>
      <c r="F33" s="146">
        <f t="shared" si="1"/>
        <v>84</v>
      </c>
      <c r="G33" s="83"/>
      <c r="H33" s="80">
        <f>H31</f>
        <v>30</v>
      </c>
      <c r="I33" s="62" t="s">
        <v>200</v>
      </c>
      <c r="J33" s="87"/>
      <c r="K33" s="93"/>
      <c r="L33" s="83"/>
      <c r="M33" s="522"/>
      <c r="N33" s="492"/>
      <c r="O33" s="83"/>
      <c r="P33" s="83"/>
      <c r="Q33" s="83"/>
    </row>
    <row r="34" spans="1:17" s="81" customFormat="1" x14ac:dyDescent="0.25">
      <c r="A34" s="100" t="s">
        <v>141</v>
      </c>
      <c r="B34" s="101" t="s">
        <v>203</v>
      </c>
      <c r="C34" s="102">
        <v>250</v>
      </c>
      <c r="D34" s="101">
        <v>15</v>
      </c>
      <c r="E34" s="144">
        <f>IF(B34="Daily",7, IF(B34="Weekly",1, IF(B34="Every Other Day",4,"")))</f>
        <v>7</v>
      </c>
      <c r="F34" s="103">
        <f t="shared" si="1"/>
        <v>105</v>
      </c>
      <c r="G34" s="83"/>
      <c r="H34" s="303">
        <v>1</v>
      </c>
      <c r="I34" s="71" t="s">
        <v>192</v>
      </c>
      <c r="J34" s="142">
        <f>H34*3.65</f>
        <v>3.65</v>
      </c>
      <c r="K34" s="143"/>
      <c r="L34" s="83"/>
      <c r="M34" s="522"/>
      <c r="N34" s="492"/>
      <c r="O34" s="83"/>
      <c r="P34" s="83"/>
      <c r="Q34" s="83"/>
    </row>
    <row r="35" spans="1:17" s="81" customFormat="1" x14ac:dyDescent="0.25">
      <c r="A35" s="88"/>
      <c r="B35" s="79"/>
      <c r="C35" s="80"/>
      <c r="D35" s="82"/>
      <c r="E35" s="167">
        <f>SUM(E31:E34)</f>
        <v>28</v>
      </c>
      <c r="F35" s="127">
        <f>SUM(F31:F34)</f>
        <v>294</v>
      </c>
      <c r="G35" s="83"/>
      <c r="H35" s="80"/>
      <c r="J35" s="128">
        <f>SUM(J29:J34)</f>
        <v>57.843999999999994</v>
      </c>
      <c r="K35" s="129">
        <f>ROUNDUP(SUM(K29:K34),0)</f>
        <v>153</v>
      </c>
      <c r="L35" s="83"/>
      <c r="M35" s="433" t="s">
        <v>202</v>
      </c>
      <c r="N35" s="428">
        <f>+K35-J35</f>
        <v>95.156000000000006</v>
      </c>
      <c r="O35" s="83"/>
      <c r="P35" s="83"/>
      <c r="Q35" s="83"/>
    </row>
    <row r="36" spans="1:17" s="81" customFormat="1" x14ac:dyDescent="0.25">
      <c r="A36" s="88"/>
      <c r="B36" s="79"/>
      <c r="C36" s="80"/>
      <c r="D36" s="82"/>
      <c r="E36" s="441" t="s">
        <v>204</v>
      </c>
      <c r="F36" s="484">
        <f>+F35/300</f>
        <v>0.98</v>
      </c>
      <c r="G36" s="83"/>
      <c r="H36" s="80"/>
      <c r="I36" s="131" t="s">
        <v>189</v>
      </c>
      <c r="J36" s="113">
        <f>+J35/H29</f>
        <v>0.19674829931972787</v>
      </c>
      <c r="K36" s="112">
        <f>+K35/H29</f>
        <v>0.52040816326530615</v>
      </c>
      <c r="L36" s="83"/>
      <c r="M36" s="522"/>
      <c r="N36" s="492"/>
      <c r="O36" s="83"/>
      <c r="P36" s="83"/>
      <c r="Q36" s="83"/>
    </row>
    <row r="37" spans="1:17" s="81" customFormat="1" x14ac:dyDescent="0.25">
      <c r="A37" s="88"/>
      <c r="B37" s="79"/>
      <c r="C37" s="80"/>
      <c r="D37" s="82"/>
      <c r="E37" s="109"/>
      <c r="G37" s="83"/>
      <c r="H37" s="80"/>
      <c r="I37" s="131"/>
      <c r="J37" s="131"/>
      <c r="K37" s="131"/>
      <c r="L37" s="83"/>
      <c r="M37" s="522"/>
      <c r="N37" s="492"/>
      <c r="O37" s="83"/>
      <c r="P37" s="83"/>
      <c r="Q37" s="83"/>
    </row>
    <row r="38" spans="1:17" s="107" customFormat="1" x14ac:dyDescent="0.25">
      <c r="A38" s="104"/>
      <c r="B38" s="105"/>
      <c r="C38" s="106"/>
      <c r="D38" s="108"/>
      <c r="E38" s="151"/>
      <c r="H38" s="106"/>
      <c r="M38" s="529"/>
      <c r="N38" s="421"/>
    </row>
    <row r="39" spans="1:17" s="98" customFormat="1" x14ac:dyDescent="0.25">
      <c r="A39" s="15"/>
      <c r="B39" s="87"/>
      <c r="C39" s="80"/>
      <c r="D39" s="115"/>
      <c r="E39" s="116"/>
      <c r="G39" s="117"/>
      <c r="H39" s="80"/>
      <c r="J39" s="152"/>
      <c r="K39" s="153"/>
      <c r="L39" s="117"/>
      <c r="M39" s="428"/>
      <c r="N39" s="289"/>
      <c r="O39" s="117"/>
      <c r="P39" s="117"/>
      <c r="Q39" s="117"/>
    </row>
    <row r="40" spans="1:17" s="98" customFormat="1" x14ac:dyDescent="0.25">
      <c r="A40" s="15"/>
      <c r="B40" s="87"/>
      <c r="C40" s="80"/>
      <c r="D40" s="115"/>
      <c r="E40" s="116"/>
      <c r="G40" s="117"/>
      <c r="H40" s="80"/>
      <c r="K40" s="114" t="s">
        <v>144</v>
      </c>
      <c r="L40" s="117"/>
      <c r="M40" s="428"/>
      <c r="N40" s="289"/>
      <c r="O40" s="117"/>
      <c r="P40" s="117"/>
      <c r="Q40" s="117"/>
    </row>
    <row r="41" spans="1:17" s="98" customFormat="1" x14ac:dyDescent="0.25">
      <c r="A41" s="15"/>
      <c r="B41" s="121"/>
      <c r="C41" s="80"/>
      <c r="D41" s="115"/>
      <c r="E41" s="116"/>
      <c r="G41" s="117"/>
      <c r="H41" s="118">
        <f>ROUNDUP(F47,0)</f>
        <v>483</v>
      </c>
      <c r="I41" s="119" t="s">
        <v>201</v>
      </c>
      <c r="J41" s="87">
        <f>+B7*F47</f>
        <v>89.033000000000001</v>
      </c>
      <c r="K41" s="120">
        <f>+F47*F7</f>
        <v>250.03300000000002</v>
      </c>
      <c r="L41" s="117"/>
      <c r="M41" s="428"/>
      <c r="N41" s="289"/>
      <c r="O41" s="117"/>
      <c r="P41" s="117"/>
      <c r="Q41" s="117"/>
    </row>
    <row r="42" spans="1:17" s="125" customFormat="1" ht="31.5" x14ac:dyDescent="0.25">
      <c r="A42" s="653" t="s">
        <v>268</v>
      </c>
      <c r="B42" s="148" t="s">
        <v>199</v>
      </c>
      <c r="C42" s="149" t="s">
        <v>196</v>
      </c>
      <c r="D42" s="148" t="s">
        <v>197</v>
      </c>
      <c r="E42" s="122" t="s">
        <v>198</v>
      </c>
      <c r="F42" s="150" t="s">
        <v>188</v>
      </c>
      <c r="G42" s="124"/>
      <c r="H42" s="302">
        <v>0</v>
      </c>
      <c r="I42" s="62" t="s">
        <v>177</v>
      </c>
      <c r="J42" s="87">
        <f>+H42*45</f>
        <v>0</v>
      </c>
      <c r="K42" s="93">
        <f>+H42*85</f>
        <v>0</v>
      </c>
      <c r="L42" s="124"/>
      <c r="M42" s="526"/>
      <c r="N42" s="432"/>
      <c r="O42" s="124"/>
      <c r="P42" s="124"/>
      <c r="Q42" s="124"/>
    </row>
    <row r="43" spans="1:17" s="81" customFormat="1" x14ac:dyDescent="0.25">
      <c r="A43" s="78" t="s">
        <v>207</v>
      </c>
      <c r="B43" s="199" t="s">
        <v>203</v>
      </c>
      <c r="C43" s="192">
        <v>250</v>
      </c>
      <c r="D43" s="199">
        <v>15</v>
      </c>
      <c r="E43" s="145">
        <f>IF(B43="Daily",7, IF(B43="Weekly",1, IF(B43="Every Other Day",4,"")))</f>
        <v>7</v>
      </c>
      <c r="F43" s="146">
        <f>+D43*E43</f>
        <v>105</v>
      </c>
      <c r="G43" s="83"/>
      <c r="H43" s="80">
        <f>IF(E47&gt;=25, E47+2, E47+1)</f>
        <v>30</v>
      </c>
      <c r="I43" s="62" t="s">
        <v>217</v>
      </c>
      <c r="J43" s="87"/>
      <c r="K43" s="93"/>
      <c r="L43" s="83"/>
      <c r="M43" s="522"/>
      <c r="N43" s="492"/>
      <c r="O43" s="83"/>
      <c r="P43" s="83"/>
      <c r="Q43" s="83"/>
    </row>
    <row r="44" spans="1:17" s="81" customFormat="1" x14ac:dyDescent="0.25">
      <c r="A44" s="78" t="s">
        <v>208</v>
      </c>
      <c r="B44" s="199" t="s">
        <v>203</v>
      </c>
      <c r="C44" s="192">
        <v>300</v>
      </c>
      <c r="D44" s="199">
        <v>18</v>
      </c>
      <c r="E44" s="147">
        <f>IF(B44="Daily",7, IF(B44="Weekly",1, IF(B44="Every Other Day",4,"")))</f>
        <v>7</v>
      </c>
      <c r="F44" s="146">
        <f t="shared" ref="F44:F46" si="2">+D44*E44</f>
        <v>126</v>
      </c>
      <c r="G44" s="83"/>
      <c r="H44" s="80">
        <f>ROUNDUP(F48,0)</f>
        <v>2</v>
      </c>
      <c r="I44" s="62" t="s">
        <v>190</v>
      </c>
      <c r="J44" s="87"/>
      <c r="K44" s="93"/>
      <c r="L44" s="83"/>
      <c r="M44" s="522"/>
      <c r="N44" s="492"/>
      <c r="O44" s="83"/>
      <c r="P44" s="83"/>
      <c r="Q44" s="83"/>
    </row>
    <row r="45" spans="1:17" s="81" customFormat="1" x14ac:dyDescent="0.25">
      <c r="A45" s="78" t="s">
        <v>209</v>
      </c>
      <c r="B45" s="199" t="s">
        <v>203</v>
      </c>
      <c r="C45" s="192">
        <v>300</v>
      </c>
      <c r="D45" s="199">
        <v>18</v>
      </c>
      <c r="E45" s="147">
        <f>IF(B45="Daily",7, IF(B45="Weekly",1, IF(B45="Every Other Day",4,"")))</f>
        <v>7</v>
      </c>
      <c r="F45" s="146">
        <f t="shared" si="2"/>
        <v>126</v>
      </c>
      <c r="G45" s="83"/>
      <c r="H45" s="80">
        <f>H43</f>
        <v>30</v>
      </c>
      <c r="I45" s="62" t="s">
        <v>200</v>
      </c>
      <c r="J45" s="87"/>
      <c r="K45" s="93"/>
      <c r="L45" s="83"/>
      <c r="M45" s="522"/>
      <c r="N45" s="492"/>
      <c r="O45" s="83"/>
      <c r="P45" s="83"/>
      <c r="Q45" s="83"/>
    </row>
    <row r="46" spans="1:17" s="81" customFormat="1" x14ac:dyDescent="0.25">
      <c r="A46" s="100" t="s">
        <v>210</v>
      </c>
      <c r="B46" s="101" t="s">
        <v>203</v>
      </c>
      <c r="C46" s="102">
        <v>300</v>
      </c>
      <c r="D46" s="101">
        <v>18</v>
      </c>
      <c r="E46" s="144">
        <f>IF(B46="Daily",7, IF(B46="Weekly",1, IF(B46="Every Other Day",4,"")))</f>
        <v>7</v>
      </c>
      <c r="F46" s="103">
        <f t="shared" si="2"/>
        <v>126</v>
      </c>
      <c r="G46" s="83"/>
      <c r="H46" s="303">
        <v>0</v>
      </c>
      <c r="I46" s="71" t="s">
        <v>192</v>
      </c>
      <c r="J46" s="142">
        <f>H46*3.65</f>
        <v>0</v>
      </c>
      <c r="K46" s="143"/>
      <c r="L46" s="83"/>
      <c r="M46" s="522"/>
      <c r="N46" s="492"/>
      <c r="O46" s="83"/>
      <c r="P46" s="83"/>
      <c r="Q46" s="83"/>
    </row>
    <row r="47" spans="1:17" s="81" customFormat="1" x14ac:dyDescent="0.25">
      <c r="A47" s="88"/>
      <c r="B47" s="79"/>
      <c r="C47" s="80"/>
      <c r="D47" s="82"/>
      <c r="E47" s="167">
        <f>SUM(E43:E46)</f>
        <v>28</v>
      </c>
      <c r="F47" s="127">
        <f>SUM(F43:F46)</f>
        <v>483</v>
      </c>
      <c r="G47" s="83"/>
      <c r="H47" s="80"/>
      <c r="J47" s="128">
        <f>SUM(J41:J46)</f>
        <v>89.033000000000001</v>
      </c>
      <c r="K47" s="129">
        <f>ROUNDUP(SUM(K41:K46),0)</f>
        <v>251</v>
      </c>
      <c r="L47" s="83"/>
      <c r="M47" s="522"/>
      <c r="N47" s="492"/>
      <c r="O47" s="83"/>
      <c r="P47" s="83"/>
      <c r="Q47" s="83"/>
    </row>
    <row r="48" spans="1:17" s="81" customFormat="1" x14ac:dyDescent="0.25">
      <c r="A48" s="88"/>
      <c r="B48" s="79"/>
      <c r="C48" s="80"/>
      <c r="D48" s="82"/>
      <c r="E48" s="441" t="s">
        <v>204</v>
      </c>
      <c r="F48" s="484">
        <f>+F47/300</f>
        <v>1.61</v>
      </c>
      <c r="G48" s="83"/>
      <c r="H48" s="80"/>
      <c r="I48" s="131" t="s">
        <v>189</v>
      </c>
      <c r="J48" s="113">
        <f>+J47/H41</f>
        <v>0.18433333333333335</v>
      </c>
      <c r="K48" s="112">
        <f>+K47/H41</f>
        <v>0.51966873706004135</v>
      </c>
      <c r="L48" s="83"/>
      <c r="M48" s="433" t="s">
        <v>202</v>
      </c>
      <c r="N48" s="428">
        <f>+K47-J47</f>
        <v>161.96699999999998</v>
      </c>
      <c r="O48" s="83"/>
      <c r="P48" s="83"/>
      <c r="Q48" s="83"/>
    </row>
    <row r="49" spans="1:17" s="81" customFormat="1" x14ac:dyDescent="0.25">
      <c r="A49" s="88"/>
      <c r="B49" s="79"/>
      <c r="C49" s="80"/>
      <c r="D49" s="82"/>
      <c r="E49" s="109"/>
      <c r="G49" s="83"/>
      <c r="H49" s="80"/>
      <c r="I49" s="110"/>
      <c r="J49" s="111"/>
      <c r="L49" s="83"/>
      <c r="M49" s="522"/>
      <c r="N49" s="492"/>
      <c r="O49" s="83"/>
      <c r="P49" s="83"/>
      <c r="Q49" s="83"/>
    </row>
    <row r="50" spans="1:17" s="135" customFormat="1" x14ac:dyDescent="0.25">
      <c r="A50" s="132"/>
      <c r="B50" s="133"/>
      <c r="C50" s="134"/>
      <c r="D50" s="136"/>
      <c r="E50" s="137"/>
      <c r="H50" s="134"/>
      <c r="I50" s="138"/>
      <c r="J50" s="139"/>
      <c r="K50" s="140"/>
      <c r="M50" s="530"/>
      <c r="N50" s="423"/>
    </row>
    <row r="51" spans="1:17" s="83" customFormat="1" x14ac:dyDescent="0.25">
      <c r="A51" s="88"/>
      <c r="B51" s="90"/>
      <c r="C51" s="158"/>
      <c r="D51" s="189"/>
      <c r="E51" s="291"/>
      <c r="H51" s="158"/>
      <c r="I51" s="131"/>
      <c r="J51" s="111"/>
      <c r="K51" s="112"/>
      <c r="M51" s="522"/>
      <c r="N51" s="492"/>
    </row>
    <row r="52" spans="1:17" s="83" customFormat="1" x14ac:dyDescent="0.25">
      <c r="A52" s="536" t="s">
        <v>380</v>
      </c>
      <c r="B52" s="90"/>
      <c r="C52" s="158"/>
      <c r="D52" s="189"/>
      <c r="E52" s="291"/>
      <c r="H52" s="158"/>
      <c r="I52" s="131"/>
      <c r="J52" s="111"/>
      <c r="K52" s="112"/>
      <c r="M52" s="522"/>
      <c r="N52" s="492"/>
    </row>
    <row r="53" spans="1:17" s="83" customFormat="1" x14ac:dyDescent="0.25">
      <c r="A53" s="88"/>
      <c r="B53" s="79" t="s">
        <v>216</v>
      </c>
      <c r="C53" s="158"/>
      <c r="D53" s="189"/>
      <c r="E53" s="291"/>
      <c r="H53" s="158"/>
      <c r="I53" s="131"/>
      <c r="J53" s="111"/>
      <c r="K53" s="112"/>
      <c r="M53" s="522"/>
      <c r="N53" s="492"/>
    </row>
    <row r="54" spans="1:17" s="83" customFormat="1" x14ac:dyDescent="0.25">
      <c r="A54" s="88"/>
      <c r="B54" s="81" t="s">
        <v>372</v>
      </c>
      <c r="C54" s="158"/>
      <c r="D54" s="189"/>
      <c r="E54" s="291"/>
      <c r="H54" s="158"/>
      <c r="I54" s="131"/>
      <c r="J54" s="111"/>
      <c r="K54" s="112"/>
      <c r="M54" s="522"/>
      <c r="N54" s="492"/>
    </row>
    <row r="56" spans="1:17" s="107" customFormat="1" x14ac:dyDescent="0.25">
      <c r="A56" s="104"/>
      <c r="B56" s="105"/>
      <c r="C56" s="106"/>
      <c r="D56" s="108"/>
      <c r="E56" s="151"/>
      <c r="H56" s="106"/>
      <c r="M56" s="529"/>
      <c r="N56" s="421"/>
    </row>
    <row r="57" spans="1:17" s="98" customFormat="1" x14ac:dyDescent="0.25">
      <c r="A57" s="15"/>
      <c r="B57" s="87"/>
      <c r="C57" s="80"/>
      <c r="D57" s="115"/>
      <c r="E57" s="116"/>
      <c r="G57" s="117"/>
      <c r="H57" s="80"/>
      <c r="J57" s="152"/>
      <c r="K57" s="153"/>
      <c r="L57" s="117"/>
      <c r="M57" s="428"/>
      <c r="N57" s="289"/>
      <c r="O57" s="117"/>
      <c r="P57" s="117"/>
      <c r="Q57" s="117"/>
    </row>
    <row r="58" spans="1:17" s="98" customFormat="1" x14ac:dyDescent="0.25">
      <c r="A58" s="15"/>
      <c r="B58" s="87"/>
      <c r="C58" s="80"/>
      <c r="D58" s="115"/>
      <c r="E58" s="116"/>
      <c r="G58" s="117"/>
      <c r="H58" s="80"/>
      <c r="K58" s="114" t="s">
        <v>144</v>
      </c>
      <c r="L58" s="117"/>
      <c r="M58" s="428"/>
      <c r="N58" s="289"/>
      <c r="O58" s="117"/>
      <c r="P58" s="117"/>
      <c r="Q58" s="117"/>
    </row>
    <row r="59" spans="1:17" s="98" customFormat="1" x14ac:dyDescent="0.25">
      <c r="A59" s="15"/>
      <c r="B59" s="121"/>
      <c r="C59" s="80"/>
      <c r="D59" s="115"/>
      <c r="E59" s="116"/>
      <c r="G59" s="117"/>
      <c r="H59" s="118">
        <f>ROUNDUP(F65,0)</f>
        <v>546</v>
      </c>
      <c r="I59" s="119" t="s">
        <v>201</v>
      </c>
      <c r="J59" s="87">
        <f>+B7*F65</f>
        <v>100.64599999999999</v>
      </c>
      <c r="K59" s="120">
        <f>+F65*F7</f>
        <v>282.64600000000002</v>
      </c>
      <c r="L59" s="117"/>
      <c r="M59" s="428"/>
      <c r="N59" s="289"/>
      <c r="O59" s="117"/>
      <c r="P59" s="117"/>
      <c r="Q59" s="117"/>
    </row>
    <row r="60" spans="1:17" s="125" customFormat="1" ht="31.5" x14ac:dyDescent="0.25">
      <c r="A60" s="653" t="s">
        <v>269</v>
      </c>
      <c r="B60" s="148" t="s">
        <v>199</v>
      </c>
      <c r="C60" s="149" t="s">
        <v>196</v>
      </c>
      <c r="D60" s="148" t="s">
        <v>197</v>
      </c>
      <c r="E60" s="122" t="s">
        <v>198</v>
      </c>
      <c r="F60" s="150" t="s">
        <v>188</v>
      </c>
      <c r="G60" s="124"/>
      <c r="H60" s="302">
        <v>0</v>
      </c>
      <c r="I60" s="62" t="s">
        <v>177</v>
      </c>
      <c r="J60" s="87">
        <f>+H60*45</f>
        <v>0</v>
      </c>
      <c r="K60" s="93">
        <f>+H60*85</f>
        <v>0</v>
      </c>
      <c r="L60" s="124"/>
      <c r="M60" s="526"/>
      <c r="N60" s="432"/>
      <c r="O60" s="124"/>
      <c r="P60" s="124"/>
      <c r="Q60" s="124"/>
    </row>
    <row r="61" spans="1:17" s="81" customFormat="1" x14ac:dyDescent="0.25">
      <c r="A61" s="78" t="s">
        <v>211</v>
      </c>
      <c r="B61" s="199" t="s">
        <v>203</v>
      </c>
      <c r="C61" s="192">
        <v>300</v>
      </c>
      <c r="D61" s="199">
        <v>18</v>
      </c>
      <c r="E61" s="145">
        <f>IF(B61="Daily",7, IF(B61="Weekly",1, IF(B61="Every Other Day",4,"")))</f>
        <v>7</v>
      </c>
      <c r="F61" s="146">
        <f>+D61*E61</f>
        <v>126</v>
      </c>
      <c r="G61" s="83"/>
      <c r="H61" s="80">
        <f>IF(E65&gt;=25, E65+2, E65+1)</f>
        <v>30</v>
      </c>
      <c r="I61" s="62" t="s">
        <v>217</v>
      </c>
      <c r="J61" s="87"/>
      <c r="K61" s="93"/>
      <c r="L61" s="83"/>
      <c r="M61" s="522"/>
      <c r="N61" s="492"/>
      <c r="O61" s="83"/>
      <c r="P61" s="83"/>
      <c r="Q61" s="83"/>
    </row>
    <row r="62" spans="1:17" s="81" customFormat="1" x14ac:dyDescent="0.25">
      <c r="A62" s="78" t="s">
        <v>212</v>
      </c>
      <c r="B62" s="199" t="s">
        <v>203</v>
      </c>
      <c r="C62" s="192">
        <v>300</v>
      </c>
      <c r="D62" s="199">
        <v>18</v>
      </c>
      <c r="E62" s="147">
        <f>IF(B62="Daily",7, IF(B62="Weekly",1, IF(B62="Every Other Day",4,"")))</f>
        <v>7</v>
      </c>
      <c r="F62" s="146">
        <f t="shared" ref="F62:F64" si="3">+D62*E62</f>
        <v>126</v>
      </c>
      <c r="G62" s="83"/>
      <c r="H62" s="80">
        <f>ROUNDUP(F66,0)</f>
        <v>2</v>
      </c>
      <c r="I62" s="62" t="s">
        <v>190</v>
      </c>
      <c r="J62" s="87">
        <f>H62*0.6</f>
        <v>1.2</v>
      </c>
      <c r="K62" s="93">
        <f>+H62</f>
        <v>2</v>
      </c>
      <c r="L62" s="83"/>
      <c r="M62" s="522"/>
      <c r="N62" s="492"/>
      <c r="O62" s="83"/>
      <c r="P62" s="83"/>
      <c r="Q62" s="83"/>
    </row>
    <row r="63" spans="1:17" s="81" customFormat="1" x14ac:dyDescent="0.25">
      <c r="A63" s="78" t="s">
        <v>213</v>
      </c>
      <c r="B63" s="199" t="s">
        <v>203</v>
      </c>
      <c r="C63" s="192">
        <v>350</v>
      </c>
      <c r="D63" s="199">
        <v>21</v>
      </c>
      <c r="E63" s="147">
        <f>IF(B63="Daily",7, IF(B63="Weekly",1, IF(B63="Every Other Day",4,"")))</f>
        <v>7</v>
      </c>
      <c r="F63" s="146">
        <f t="shared" si="3"/>
        <v>147</v>
      </c>
      <c r="G63" s="83"/>
      <c r="H63" s="80">
        <f>H61</f>
        <v>30</v>
      </c>
      <c r="I63" s="62" t="s">
        <v>200</v>
      </c>
      <c r="J63" s="87"/>
      <c r="K63" s="93"/>
      <c r="L63" s="83"/>
      <c r="M63" s="522"/>
      <c r="N63" s="492"/>
      <c r="O63" s="83"/>
      <c r="P63" s="83"/>
      <c r="Q63" s="83"/>
    </row>
    <row r="64" spans="1:17" s="81" customFormat="1" x14ac:dyDescent="0.25">
      <c r="A64" s="100" t="s">
        <v>214</v>
      </c>
      <c r="B64" s="101" t="s">
        <v>203</v>
      </c>
      <c r="C64" s="102">
        <v>350</v>
      </c>
      <c r="D64" s="101">
        <v>21</v>
      </c>
      <c r="E64" s="144">
        <f>IF(B64="Daily",7, IF(B64="Weekly",1, IF(B64="Every Other Day",4,"")))</f>
        <v>7</v>
      </c>
      <c r="F64" s="103">
        <f t="shared" si="3"/>
        <v>147</v>
      </c>
      <c r="G64" s="83"/>
      <c r="H64" s="303">
        <v>0</v>
      </c>
      <c r="I64" s="71" t="s">
        <v>192</v>
      </c>
      <c r="J64" s="142">
        <f>H64*3.65</f>
        <v>0</v>
      </c>
      <c r="K64" s="143"/>
      <c r="L64" s="83"/>
      <c r="M64" s="522"/>
      <c r="N64" s="492"/>
      <c r="O64" s="83"/>
      <c r="P64" s="83"/>
      <c r="Q64" s="83"/>
    </row>
    <row r="65" spans="1:17" s="81" customFormat="1" x14ac:dyDescent="0.25">
      <c r="A65" s="88"/>
      <c r="B65" s="79"/>
      <c r="C65" s="80"/>
      <c r="D65" s="82"/>
      <c r="E65" s="126">
        <f>SUM(E61:E64)</f>
        <v>28</v>
      </c>
      <c r="F65" s="127">
        <f>SUM(F61:F64)</f>
        <v>546</v>
      </c>
      <c r="G65" s="83"/>
      <c r="H65" s="80"/>
      <c r="J65" s="128">
        <f>SUM(J59:J64)</f>
        <v>101.84599999999999</v>
      </c>
      <c r="K65" s="129">
        <f>ROUNDUP(SUM(K59:K64),0)</f>
        <v>285</v>
      </c>
      <c r="L65" s="83"/>
      <c r="M65" s="433" t="s">
        <v>202</v>
      </c>
      <c r="N65" s="428">
        <f>+K65-J65</f>
        <v>183.154</v>
      </c>
      <c r="O65" s="83"/>
      <c r="P65" s="83"/>
      <c r="Q65" s="83"/>
    </row>
    <row r="66" spans="1:17" s="81" customFormat="1" x14ac:dyDescent="0.25">
      <c r="A66" s="88"/>
      <c r="B66" s="79"/>
      <c r="C66" s="80"/>
      <c r="D66" s="82"/>
      <c r="E66" s="441" t="s">
        <v>204</v>
      </c>
      <c r="F66" s="484">
        <f>+F65/300</f>
        <v>1.82</v>
      </c>
      <c r="G66" s="83"/>
      <c r="H66" s="80"/>
      <c r="I66" s="131" t="s">
        <v>189</v>
      </c>
      <c r="J66" s="113">
        <f>+J65/H59</f>
        <v>0.18653113553113551</v>
      </c>
      <c r="K66" s="112">
        <f>+K65/H59</f>
        <v>0.52197802197802201</v>
      </c>
      <c r="L66" s="83"/>
      <c r="M66" s="522"/>
      <c r="N66" s="492"/>
      <c r="O66" s="83"/>
      <c r="P66" s="83"/>
      <c r="Q66" s="83"/>
    </row>
    <row r="67" spans="1:17" s="81" customFormat="1" x14ac:dyDescent="0.25">
      <c r="A67" s="88"/>
      <c r="B67" s="79"/>
      <c r="C67" s="80"/>
      <c r="D67" s="82"/>
      <c r="E67" s="109"/>
      <c r="G67" s="83"/>
      <c r="H67" s="80"/>
      <c r="I67" s="110"/>
      <c r="J67" s="111"/>
      <c r="L67" s="83"/>
      <c r="M67" s="522"/>
      <c r="N67" s="492"/>
      <c r="O67" s="83"/>
      <c r="P67" s="83"/>
      <c r="Q67" s="83"/>
    </row>
    <row r="68" spans="1:17" s="135" customFormat="1" x14ac:dyDescent="0.25">
      <c r="A68" s="132"/>
      <c r="B68" s="133"/>
      <c r="C68" s="134"/>
      <c r="D68" s="136"/>
      <c r="E68" s="137"/>
      <c r="H68" s="134"/>
      <c r="I68" s="138"/>
      <c r="J68" s="139"/>
      <c r="K68" s="140"/>
      <c r="M68" s="530"/>
      <c r="N68" s="423"/>
    </row>
    <row r="69" spans="1:17" s="98" customFormat="1" x14ac:dyDescent="0.25">
      <c r="A69" s="15"/>
      <c r="B69" s="87"/>
      <c r="C69" s="80"/>
      <c r="D69" s="115"/>
      <c r="E69" s="116"/>
      <c r="G69" s="117"/>
      <c r="H69" s="80"/>
      <c r="J69" s="152"/>
      <c r="K69" s="153"/>
      <c r="L69" s="117"/>
      <c r="M69" s="428"/>
      <c r="N69" s="289"/>
      <c r="O69" s="117"/>
      <c r="P69" s="117"/>
      <c r="Q69" s="117"/>
    </row>
    <row r="70" spans="1:17" s="98" customFormat="1" x14ac:dyDescent="0.25">
      <c r="A70" s="15"/>
      <c r="B70" s="87"/>
      <c r="C70" s="80"/>
      <c r="D70" s="115"/>
      <c r="E70" s="116"/>
      <c r="G70" s="117"/>
      <c r="H70" s="80"/>
      <c r="K70" s="114" t="s">
        <v>144</v>
      </c>
      <c r="L70" s="117"/>
      <c r="M70" s="428"/>
      <c r="N70" s="289"/>
      <c r="O70" s="117"/>
      <c r="P70" s="117"/>
      <c r="Q70" s="117"/>
    </row>
    <row r="71" spans="1:17" s="98" customFormat="1" x14ac:dyDescent="0.25">
      <c r="A71" s="15"/>
      <c r="B71" s="121"/>
      <c r="C71" s="80"/>
      <c r="D71" s="115"/>
      <c r="E71" s="116"/>
      <c r="G71" s="117"/>
      <c r="H71" s="118">
        <f>ROUNDUP(F77,0)</f>
        <v>651</v>
      </c>
      <c r="I71" s="119" t="s">
        <v>201</v>
      </c>
      <c r="J71" s="87">
        <f>+B7*F77</f>
        <v>120.00099999999999</v>
      </c>
      <c r="K71" s="120">
        <f>+F77*F7</f>
        <v>337.00100000000003</v>
      </c>
      <c r="L71" s="117"/>
      <c r="M71" s="428"/>
      <c r="N71" s="289"/>
      <c r="O71" s="117"/>
      <c r="P71" s="117"/>
      <c r="Q71" s="117"/>
    </row>
    <row r="72" spans="1:17" s="125" customFormat="1" ht="31.5" x14ac:dyDescent="0.25">
      <c r="A72" s="653" t="s">
        <v>215</v>
      </c>
      <c r="B72" s="148" t="s">
        <v>199</v>
      </c>
      <c r="C72" s="149" t="s">
        <v>196</v>
      </c>
      <c r="D72" s="148" t="s">
        <v>197</v>
      </c>
      <c r="E72" s="122" t="s">
        <v>198</v>
      </c>
      <c r="F72" s="150" t="s">
        <v>188</v>
      </c>
      <c r="G72" s="124"/>
      <c r="H72" s="302">
        <v>0</v>
      </c>
      <c r="I72" s="62" t="s">
        <v>177</v>
      </c>
      <c r="J72" s="87">
        <f>+H72*45</f>
        <v>0</v>
      </c>
      <c r="K72" s="93">
        <f>+H72*85</f>
        <v>0</v>
      </c>
      <c r="L72" s="124"/>
      <c r="M72" s="526"/>
      <c r="N72" s="432"/>
      <c r="O72" s="124"/>
      <c r="P72" s="124"/>
      <c r="Q72" s="124"/>
    </row>
    <row r="73" spans="1:17" s="81" customFormat="1" x14ac:dyDescent="0.25">
      <c r="A73" s="193" t="s">
        <v>223</v>
      </c>
      <c r="B73" s="199" t="s">
        <v>203</v>
      </c>
      <c r="C73" s="192">
        <v>350</v>
      </c>
      <c r="D73" s="199">
        <v>21</v>
      </c>
      <c r="E73" s="145">
        <f>IF(B73="Daily",7, IF(B73="Weekly",1, IF(B73="Every Other Day",4,"")))</f>
        <v>7</v>
      </c>
      <c r="F73" s="146">
        <f>+D73*E73</f>
        <v>147</v>
      </c>
      <c r="G73" s="83"/>
      <c r="H73" s="80">
        <f>IF(E77&gt;=25, E77+2, E77+1)</f>
        <v>30</v>
      </c>
      <c r="I73" s="62" t="s">
        <v>217</v>
      </c>
      <c r="J73" s="87"/>
      <c r="K73" s="93"/>
      <c r="L73" s="83"/>
      <c r="M73" s="522"/>
      <c r="N73" s="492"/>
      <c r="O73" s="83"/>
      <c r="P73" s="83"/>
      <c r="Q73" s="83"/>
    </row>
    <row r="74" spans="1:17" s="81" customFormat="1" x14ac:dyDescent="0.25">
      <c r="A74" s="193" t="s">
        <v>224</v>
      </c>
      <c r="B74" s="199" t="s">
        <v>203</v>
      </c>
      <c r="C74" s="192">
        <v>400</v>
      </c>
      <c r="D74" s="199">
        <v>24</v>
      </c>
      <c r="E74" s="147">
        <f>IF(B74="Daily",7, IF(B74="Weekly",1, IF(B74="Every Other Day",4,"")))</f>
        <v>7</v>
      </c>
      <c r="F74" s="146">
        <f t="shared" ref="F74:F76" si="4">+D74*E74</f>
        <v>168</v>
      </c>
      <c r="G74" s="83"/>
      <c r="H74" s="80">
        <f>ROUNDUP(F78,0)</f>
        <v>3</v>
      </c>
      <c r="I74" s="62" t="s">
        <v>190</v>
      </c>
      <c r="J74" s="87">
        <f>H74*0.6</f>
        <v>1.7999999999999998</v>
      </c>
      <c r="K74" s="93">
        <f>H74</f>
        <v>3</v>
      </c>
      <c r="L74" s="83"/>
      <c r="M74" s="522"/>
      <c r="N74" s="492"/>
      <c r="O74" s="83"/>
      <c r="P74" s="83"/>
      <c r="Q74" s="83"/>
    </row>
    <row r="75" spans="1:17" s="81" customFormat="1" x14ac:dyDescent="0.25">
      <c r="A75" s="193" t="s">
        <v>225</v>
      </c>
      <c r="B75" s="199" t="s">
        <v>203</v>
      </c>
      <c r="C75" s="192">
        <v>400</v>
      </c>
      <c r="D75" s="199">
        <v>24</v>
      </c>
      <c r="E75" s="147">
        <f>IF(B75="Daily",7, IF(B75="Weekly",1, IF(B75="Every Other Day",4,"")))</f>
        <v>7</v>
      </c>
      <c r="F75" s="146">
        <f t="shared" si="4"/>
        <v>168</v>
      </c>
      <c r="G75" s="83"/>
      <c r="H75" s="80">
        <f>H73</f>
        <v>30</v>
      </c>
      <c r="I75" s="62" t="s">
        <v>200</v>
      </c>
      <c r="J75" s="87"/>
      <c r="K75" s="93"/>
      <c r="L75" s="83"/>
      <c r="M75" s="522"/>
      <c r="N75" s="492"/>
      <c r="O75" s="83"/>
      <c r="P75" s="83"/>
      <c r="Q75" s="83"/>
    </row>
    <row r="76" spans="1:17" s="81" customFormat="1" x14ac:dyDescent="0.25">
      <c r="A76" s="195" t="s">
        <v>226</v>
      </c>
      <c r="B76" s="101" t="s">
        <v>203</v>
      </c>
      <c r="C76" s="102">
        <v>400</v>
      </c>
      <c r="D76" s="101">
        <v>24</v>
      </c>
      <c r="E76" s="144">
        <f>IF(B76="Daily",7, IF(B76="Weekly",1, IF(B76="Every Other Day",4,"")))</f>
        <v>7</v>
      </c>
      <c r="F76" s="103">
        <f t="shared" si="4"/>
        <v>168</v>
      </c>
      <c r="G76" s="83"/>
      <c r="H76" s="303">
        <v>0</v>
      </c>
      <c r="I76" s="71" t="s">
        <v>192</v>
      </c>
      <c r="J76" s="142">
        <f>H76*3.65</f>
        <v>0</v>
      </c>
      <c r="K76" s="143"/>
      <c r="L76" s="83"/>
      <c r="M76" s="522"/>
      <c r="N76" s="492"/>
      <c r="O76" s="83"/>
      <c r="P76" s="83"/>
      <c r="Q76" s="83"/>
    </row>
    <row r="77" spans="1:17" s="81" customFormat="1" x14ac:dyDescent="0.25">
      <c r="A77" s="88"/>
      <c r="B77" s="79"/>
      <c r="C77" s="80"/>
      <c r="D77" s="82"/>
      <c r="E77" s="126">
        <f>SUM(E73:E76)</f>
        <v>28</v>
      </c>
      <c r="F77" s="127">
        <f>SUM(F73:F76)</f>
        <v>651</v>
      </c>
      <c r="G77" s="83"/>
      <c r="H77" s="80"/>
      <c r="J77" s="128">
        <f>SUM(J71:J76)</f>
        <v>121.80099999999999</v>
      </c>
      <c r="K77" s="129">
        <f>ROUNDUP(SUM(K71:K76),0)</f>
        <v>341</v>
      </c>
      <c r="L77" s="83"/>
      <c r="M77" s="433" t="s">
        <v>202</v>
      </c>
      <c r="N77" s="428">
        <f>+K77-J77</f>
        <v>219.19900000000001</v>
      </c>
      <c r="O77" s="83"/>
      <c r="P77" s="83"/>
      <c r="Q77" s="83"/>
    </row>
    <row r="78" spans="1:17" s="81" customFormat="1" x14ac:dyDescent="0.25">
      <c r="A78" s="88"/>
      <c r="B78" s="79"/>
      <c r="C78" s="80"/>
      <c r="D78" s="82"/>
      <c r="E78" s="441" t="s">
        <v>204</v>
      </c>
      <c r="F78" s="484">
        <f>+F77/300</f>
        <v>2.17</v>
      </c>
      <c r="G78" s="83"/>
      <c r="H78" s="80"/>
      <c r="I78" s="131" t="s">
        <v>189</v>
      </c>
      <c r="J78" s="113">
        <f>+J77/H71</f>
        <v>0.18709831029185867</v>
      </c>
      <c r="K78" s="112">
        <f>+K77/H71</f>
        <v>0.52380952380952384</v>
      </c>
      <c r="L78" s="83"/>
      <c r="M78" s="522"/>
      <c r="N78" s="492"/>
      <c r="O78" s="83"/>
      <c r="P78" s="83"/>
      <c r="Q78" s="83"/>
    </row>
    <row r="79" spans="1:17" s="81" customFormat="1" x14ac:dyDescent="0.25">
      <c r="A79" s="88"/>
      <c r="B79" s="79"/>
      <c r="C79" s="80"/>
      <c r="D79" s="82"/>
      <c r="E79" s="109"/>
      <c r="G79" s="83"/>
      <c r="H79" s="80"/>
      <c r="I79" s="110"/>
      <c r="J79" s="111"/>
      <c r="L79" s="83"/>
      <c r="M79" s="522"/>
      <c r="N79" s="492"/>
      <c r="O79" s="83"/>
      <c r="P79" s="83"/>
      <c r="Q79" s="83"/>
    </row>
    <row r="80" spans="1:17" s="135" customFormat="1" x14ac:dyDescent="0.25">
      <c r="A80" s="132"/>
      <c r="B80" s="133"/>
      <c r="C80" s="134"/>
      <c r="D80" s="136"/>
      <c r="E80" s="137"/>
      <c r="H80" s="134"/>
      <c r="I80" s="138"/>
      <c r="J80" s="139"/>
      <c r="K80" s="140"/>
      <c r="M80" s="530"/>
      <c r="N80" s="423"/>
    </row>
    <row r="81" spans="1:17" s="98" customFormat="1" x14ac:dyDescent="0.25">
      <c r="A81" s="15"/>
      <c r="B81" s="87"/>
      <c r="C81" s="80"/>
      <c r="D81" s="115"/>
      <c r="E81" s="116"/>
      <c r="G81" s="117"/>
      <c r="H81" s="80"/>
      <c r="J81" s="152"/>
      <c r="K81" s="153"/>
      <c r="L81" s="117"/>
      <c r="M81" s="428"/>
      <c r="N81" s="289"/>
      <c r="O81" s="117"/>
      <c r="P81" s="117"/>
      <c r="Q81" s="117"/>
    </row>
    <row r="82" spans="1:17" s="98" customFormat="1" x14ac:dyDescent="0.25">
      <c r="A82" s="15"/>
      <c r="B82" s="87"/>
      <c r="C82" s="80"/>
      <c r="D82" s="115"/>
      <c r="E82" s="116"/>
      <c r="G82" s="117"/>
      <c r="H82" s="80"/>
      <c r="K82" s="114" t="s">
        <v>144</v>
      </c>
      <c r="L82" s="117"/>
      <c r="M82" s="428"/>
      <c r="N82" s="289"/>
      <c r="O82" s="117"/>
      <c r="P82" s="117"/>
      <c r="Q82" s="117"/>
    </row>
    <row r="83" spans="1:17" s="98" customFormat="1" x14ac:dyDescent="0.25">
      <c r="A83" s="15"/>
      <c r="B83" s="121"/>
      <c r="C83" s="80"/>
      <c r="D83" s="115"/>
      <c r="E83" s="116"/>
      <c r="G83" s="117"/>
      <c r="H83" s="118">
        <f>ROUNDUP(F89,0)</f>
        <v>777</v>
      </c>
      <c r="I83" s="119" t="s">
        <v>201</v>
      </c>
      <c r="J83" s="87">
        <f>+B7*F89</f>
        <v>143.227</v>
      </c>
      <c r="K83" s="120">
        <f>+F89*F7</f>
        <v>402.22700000000003</v>
      </c>
      <c r="L83" s="117"/>
      <c r="M83" s="428"/>
      <c r="N83" s="289"/>
      <c r="O83" s="117"/>
      <c r="P83" s="117"/>
      <c r="Q83" s="117"/>
    </row>
    <row r="84" spans="1:17" s="125" customFormat="1" ht="31.5" x14ac:dyDescent="0.25">
      <c r="A84" s="653" t="s">
        <v>455</v>
      </c>
      <c r="B84" s="148" t="s">
        <v>199</v>
      </c>
      <c r="C84" s="149" t="s">
        <v>196</v>
      </c>
      <c r="D84" s="148" t="s">
        <v>197</v>
      </c>
      <c r="E84" s="122" t="s">
        <v>198</v>
      </c>
      <c r="F84" s="150" t="s">
        <v>188</v>
      </c>
      <c r="G84" s="124"/>
      <c r="H84" s="302">
        <v>0</v>
      </c>
      <c r="I84" s="62" t="s">
        <v>177</v>
      </c>
      <c r="J84" s="87">
        <f>+H84*45</f>
        <v>0</v>
      </c>
      <c r="K84" s="93">
        <f>+H84*85</f>
        <v>0</v>
      </c>
      <c r="L84" s="124"/>
      <c r="M84" s="526"/>
      <c r="N84" s="432"/>
      <c r="O84" s="124"/>
      <c r="P84" s="124"/>
      <c r="Q84" s="124"/>
    </row>
    <row r="85" spans="1:17" s="81" customFormat="1" x14ac:dyDescent="0.25">
      <c r="A85" s="193" t="s">
        <v>376</v>
      </c>
      <c r="B85" s="199" t="s">
        <v>203</v>
      </c>
      <c r="C85" s="192">
        <v>450</v>
      </c>
      <c r="D85" s="199">
        <v>27</v>
      </c>
      <c r="E85" s="145">
        <f>IF(B85="Daily",7, IF(B85="Weekly",1, IF(B85="Every Other Day",4,"")))</f>
        <v>7</v>
      </c>
      <c r="F85" s="146">
        <f>+D85*E85</f>
        <v>189</v>
      </c>
      <c r="G85" s="83"/>
      <c r="H85" s="80">
        <f>IF(E89&gt;=25, E89+2, E89+1)</f>
        <v>30</v>
      </c>
      <c r="I85" s="62" t="s">
        <v>217</v>
      </c>
      <c r="J85" s="87"/>
      <c r="K85" s="93"/>
      <c r="L85" s="83"/>
      <c r="M85" s="522"/>
      <c r="N85" s="492"/>
      <c r="O85" s="83"/>
      <c r="P85" s="83"/>
      <c r="Q85" s="83"/>
    </row>
    <row r="86" spans="1:17" s="81" customFormat="1" x14ac:dyDescent="0.25">
      <c r="A86" s="193" t="s">
        <v>377</v>
      </c>
      <c r="B86" s="199" t="s">
        <v>203</v>
      </c>
      <c r="C86" s="192">
        <v>450</v>
      </c>
      <c r="D86" s="199">
        <v>27</v>
      </c>
      <c r="E86" s="147">
        <f>IF(B86="Daily",7, IF(B86="Weekly",1, IF(B86="Every Other Day",4,"")))</f>
        <v>7</v>
      </c>
      <c r="F86" s="146">
        <f t="shared" ref="F86:F88" si="5">+D86*E86</f>
        <v>189</v>
      </c>
      <c r="G86" s="83"/>
      <c r="H86" s="80">
        <f>ROUNDUP(F90,0)</f>
        <v>3</v>
      </c>
      <c r="I86" s="62" t="s">
        <v>190</v>
      </c>
      <c r="J86" s="87">
        <f>H86*0.6</f>
        <v>1.7999999999999998</v>
      </c>
      <c r="K86" s="93">
        <f>H86</f>
        <v>3</v>
      </c>
      <c r="L86" s="83"/>
      <c r="M86" s="522"/>
      <c r="N86" s="492"/>
      <c r="O86" s="83"/>
      <c r="P86" s="83"/>
      <c r="Q86" s="83"/>
    </row>
    <row r="87" spans="1:17" s="81" customFormat="1" x14ac:dyDescent="0.25">
      <c r="A87" s="193" t="s">
        <v>378</v>
      </c>
      <c r="B87" s="199" t="s">
        <v>203</v>
      </c>
      <c r="C87" s="192">
        <v>450</v>
      </c>
      <c r="D87" s="199">
        <v>27</v>
      </c>
      <c r="E87" s="147">
        <f>IF(B87="Daily",7, IF(B87="Weekly",1, IF(B87="Every Other Day",4,"")))</f>
        <v>7</v>
      </c>
      <c r="F87" s="146">
        <f t="shared" si="5"/>
        <v>189</v>
      </c>
      <c r="G87" s="83"/>
      <c r="H87" s="80">
        <f>H85</f>
        <v>30</v>
      </c>
      <c r="I87" s="62" t="s">
        <v>200</v>
      </c>
      <c r="J87" s="87"/>
      <c r="K87" s="93"/>
      <c r="L87" s="83"/>
      <c r="M87" s="522"/>
      <c r="N87" s="492"/>
      <c r="O87" s="83"/>
      <c r="P87" s="83"/>
      <c r="Q87" s="83"/>
    </row>
    <row r="88" spans="1:17" s="81" customFormat="1" x14ac:dyDescent="0.25">
      <c r="A88" s="195" t="s">
        <v>379</v>
      </c>
      <c r="B88" s="101" t="s">
        <v>203</v>
      </c>
      <c r="C88" s="102">
        <v>500</v>
      </c>
      <c r="D88" s="101">
        <v>30</v>
      </c>
      <c r="E88" s="144">
        <f>IF(B88="Daily",7, IF(B88="Weekly",1, IF(B88="Every Other Day",4,"")))</f>
        <v>7</v>
      </c>
      <c r="F88" s="103">
        <f t="shared" si="5"/>
        <v>210</v>
      </c>
      <c r="G88" s="83"/>
      <c r="H88" s="303">
        <v>0</v>
      </c>
      <c r="I88" s="71" t="s">
        <v>192</v>
      </c>
      <c r="J88" s="142">
        <f>H88*3.65</f>
        <v>0</v>
      </c>
      <c r="K88" s="143"/>
      <c r="L88" s="83"/>
      <c r="M88" s="522"/>
      <c r="N88" s="492"/>
      <c r="O88" s="83"/>
      <c r="P88" s="83"/>
      <c r="Q88" s="83"/>
    </row>
    <row r="89" spans="1:17" s="81" customFormat="1" x14ac:dyDescent="0.25">
      <c r="A89" s="88"/>
      <c r="B89" s="79"/>
      <c r="C89" s="80"/>
      <c r="D89" s="82"/>
      <c r="E89" s="126">
        <f>SUM(E85:E88)</f>
        <v>28</v>
      </c>
      <c r="F89" s="127">
        <f>SUM(F85:F88)</f>
        <v>777</v>
      </c>
      <c r="G89" s="83"/>
      <c r="H89" s="80"/>
      <c r="J89" s="128">
        <f>SUM(J83:J88)</f>
        <v>145.02700000000002</v>
      </c>
      <c r="K89" s="129">
        <f>ROUNDUP(SUM(K83:K88),0)</f>
        <v>406</v>
      </c>
      <c r="L89" s="83"/>
      <c r="M89" s="433" t="s">
        <v>202</v>
      </c>
      <c r="N89" s="428">
        <f>+K89-J89</f>
        <v>260.97299999999996</v>
      </c>
      <c r="O89" s="83"/>
      <c r="P89" s="83"/>
      <c r="Q89" s="83"/>
    </row>
    <row r="90" spans="1:17" s="81" customFormat="1" x14ac:dyDescent="0.25">
      <c r="A90" s="88"/>
      <c r="B90" s="79"/>
      <c r="C90" s="80"/>
      <c r="D90" s="82"/>
      <c r="E90" s="441" t="s">
        <v>204</v>
      </c>
      <c r="F90" s="484">
        <f>+F89/300</f>
        <v>2.59</v>
      </c>
      <c r="G90" s="83"/>
      <c r="H90" s="80"/>
      <c r="I90" s="131" t="s">
        <v>189</v>
      </c>
      <c r="J90" s="113">
        <f>+J89/H83</f>
        <v>0.18664993564993568</v>
      </c>
      <c r="K90" s="112">
        <f>+K89/H83</f>
        <v>0.52252252252252251</v>
      </c>
      <c r="L90" s="83"/>
      <c r="M90" s="522"/>
      <c r="N90" s="492"/>
      <c r="O90" s="83"/>
      <c r="P90" s="83"/>
      <c r="Q90" s="83"/>
    </row>
    <row r="91" spans="1:17" s="81" customFormat="1" x14ac:dyDescent="0.25">
      <c r="A91" s="88"/>
      <c r="B91" s="79"/>
      <c r="C91" s="80"/>
      <c r="D91" s="82"/>
      <c r="E91" s="109"/>
      <c r="G91" s="83"/>
      <c r="H91" s="80"/>
      <c r="I91" s="110"/>
      <c r="J91" s="111"/>
      <c r="L91" s="83"/>
      <c r="M91" s="522"/>
      <c r="N91" s="492"/>
      <c r="O91" s="83"/>
      <c r="P91" s="83"/>
      <c r="Q91" s="83"/>
    </row>
    <row r="92" spans="1:17" s="135" customFormat="1" x14ac:dyDescent="0.25">
      <c r="A92" s="132"/>
      <c r="B92" s="133"/>
      <c r="C92" s="134"/>
      <c r="D92" s="136"/>
      <c r="E92" s="137"/>
      <c r="H92" s="134"/>
      <c r="I92" s="138"/>
      <c r="J92" s="139"/>
      <c r="K92" s="140"/>
      <c r="M92" s="530"/>
      <c r="N92" s="423"/>
    </row>
    <row r="93" spans="1:17" s="98" customFormat="1" x14ac:dyDescent="0.25">
      <c r="A93" s="15"/>
      <c r="B93" s="87"/>
      <c r="C93" s="80"/>
      <c r="D93" s="115"/>
      <c r="E93" s="116"/>
      <c r="G93" s="117"/>
      <c r="H93" s="80"/>
      <c r="J93" s="152"/>
      <c r="K93" s="153"/>
      <c r="L93" s="117"/>
      <c r="M93" s="428"/>
      <c r="N93" s="289"/>
      <c r="O93" s="117"/>
      <c r="P93" s="117"/>
      <c r="Q93" s="117"/>
    </row>
    <row r="94" spans="1:17" s="98" customFormat="1" x14ac:dyDescent="0.25">
      <c r="A94" s="15"/>
      <c r="B94" s="87"/>
      <c r="C94" s="80"/>
      <c r="D94" s="115"/>
      <c r="E94" s="116"/>
      <c r="G94" s="117"/>
      <c r="H94" s="80"/>
      <c r="K94" s="114" t="s">
        <v>144</v>
      </c>
      <c r="L94" s="117"/>
      <c r="M94" s="428"/>
      <c r="N94" s="289"/>
      <c r="O94" s="117"/>
      <c r="P94" s="117"/>
      <c r="Q94" s="117"/>
    </row>
    <row r="95" spans="1:17" s="98" customFormat="1" x14ac:dyDescent="0.25">
      <c r="A95" s="15"/>
      <c r="B95" s="121"/>
      <c r="C95" s="80"/>
      <c r="D95" s="115"/>
      <c r="E95" s="116"/>
      <c r="G95" s="117"/>
      <c r="H95" s="118">
        <f>ROUNDUP(F101,0)</f>
        <v>840</v>
      </c>
      <c r="I95" s="119" t="s">
        <v>201</v>
      </c>
      <c r="J95" s="87">
        <f>+B7*F101</f>
        <v>154.84</v>
      </c>
      <c r="K95" s="120">
        <f>+F101*F7</f>
        <v>434.84000000000003</v>
      </c>
      <c r="L95" s="117"/>
      <c r="M95" s="428"/>
      <c r="N95" s="289"/>
      <c r="O95" s="117"/>
      <c r="P95" s="117"/>
      <c r="Q95" s="117"/>
    </row>
    <row r="96" spans="1:17" s="125" customFormat="1" ht="31.5" x14ac:dyDescent="0.25">
      <c r="A96" s="653" t="s">
        <v>456</v>
      </c>
      <c r="B96" s="148" t="s">
        <v>199</v>
      </c>
      <c r="C96" s="149" t="s">
        <v>196</v>
      </c>
      <c r="D96" s="148" t="s">
        <v>197</v>
      </c>
      <c r="E96" s="122" t="s">
        <v>198</v>
      </c>
      <c r="F96" s="150" t="s">
        <v>188</v>
      </c>
      <c r="G96" s="124"/>
      <c r="H96" s="302">
        <v>0</v>
      </c>
      <c r="I96" s="62" t="s">
        <v>177</v>
      </c>
      <c r="J96" s="87">
        <f>+H96*45</f>
        <v>0</v>
      </c>
      <c r="K96" s="93">
        <f>+H96*85</f>
        <v>0</v>
      </c>
      <c r="L96" s="124"/>
      <c r="M96" s="526"/>
      <c r="N96" s="432"/>
      <c r="O96" s="124"/>
      <c r="P96" s="124"/>
      <c r="Q96" s="124"/>
    </row>
    <row r="97" spans="1:17" s="81" customFormat="1" x14ac:dyDescent="0.25">
      <c r="A97" s="193" t="s">
        <v>376</v>
      </c>
      <c r="B97" s="199" t="s">
        <v>203</v>
      </c>
      <c r="C97" s="192">
        <v>500</v>
      </c>
      <c r="D97" s="199">
        <v>30</v>
      </c>
      <c r="E97" s="145">
        <f>IF(B97="Daily",7, IF(B97="Weekly",1, IF(B97="Every Other Day",4,"")))</f>
        <v>7</v>
      </c>
      <c r="F97" s="146">
        <f>+D97*E97</f>
        <v>210</v>
      </c>
      <c r="G97" s="83"/>
      <c r="H97" s="80">
        <f>IF(E101&gt;=25, E101+2, E101+1)</f>
        <v>30</v>
      </c>
      <c r="I97" s="62" t="s">
        <v>217</v>
      </c>
      <c r="J97" s="87"/>
      <c r="K97" s="93"/>
      <c r="L97" s="83"/>
      <c r="M97" s="522"/>
      <c r="N97" s="492"/>
      <c r="O97" s="83"/>
      <c r="P97" s="83"/>
      <c r="Q97" s="83"/>
    </row>
    <row r="98" spans="1:17" s="81" customFormat="1" x14ac:dyDescent="0.25">
      <c r="A98" s="193" t="s">
        <v>377</v>
      </c>
      <c r="B98" s="199" t="s">
        <v>203</v>
      </c>
      <c r="C98" s="192">
        <v>500</v>
      </c>
      <c r="D98" s="199">
        <v>30</v>
      </c>
      <c r="E98" s="147">
        <f>IF(B98="Daily",7, IF(B98="Weekly",1, IF(B98="Every Other Day",4,"")))</f>
        <v>7</v>
      </c>
      <c r="F98" s="146">
        <f t="shared" ref="F98:F100" si="6">+D98*E98</f>
        <v>210</v>
      </c>
      <c r="G98" s="83"/>
      <c r="H98" s="80">
        <f>ROUNDUP(F102,0)</f>
        <v>3</v>
      </c>
      <c r="I98" s="62" t="s">
        <v>190</v>
      </c>
      <c r="J98" s="87">
        <f>H98*0.6</f>
        <v>1.7999999999999998</v>
      </c>
      <c r="K98" s="93">
        <f>H98</f>
        <v>3</v>
      </c>
      <c r="L98" s="83"/>
      <c r="M98" s="522"/>
      <c r="N98" s="492"/>
      <c r="O98" s="83"/>
      <c r="P98" s="83"/>
      <c r="Q98" s="83"/>
    </row>
    <row r="99" spans="1:17" s="81" customFormat="1" x14ac:dyDescent="0.25">
      <c r="A99" s="193" t="s">
        <v>378</v>
      </c>
      <c r="B99" s="199" t="s">
        <v>203</v>
      </c>
      <c r="C99" s="192">
        <v>500</v>
      </c>
      <c r="D99" s="199">
        <v>30</v>
      </c>
      <c r="E99" s="147">
        <f>IF(B99="Daily",7, IF(B99="Weekly",1, IF(B99="Every Other Day",4,"")))</f>
        <v>7</v>
      </c>
      <c r="F99" s="146">
        <f t="shared" si="6"/>
        <v>210</v>
      </c>
      <c r="G99" s="83"/>
      <c r="H99" s="80">
        <f>H97</f>
        <v>30</v>
      </c>
      <c r="I99" s="62" t="s">
        <v>200</v>
      </c>
      <c r="J99" s="87"/>
      <c r="K99" s="93"/>
      <c r="L99" s="83"/>
      <c r="M99" s="522"/>
      <c r="N99" s="492"/>
      <c r="O99" s="83"/>
      <c r="P99" s="83"/>
      <c r="Q99" s="83"/>
    </row>
    <row r="100" spans="1:17" s="81" customFormat="1" x14ac:dyDescent="0.25">
      <c r="A100" s="195" t="s">
        <v>379</v>
      </c>
      <c r="B100" s="101" t="s">
        <v>203</v>
      </c>
      <c r="C100" s="102">
        <v>500</v>
      </c>
      <c r="D100" s="101">
        <v>30</v>
      </c>
      <c r="E100" s="144">
        <f>IF(B100="Daily",7, IF(B100="Weekly",1, IF(B100="Every Other Day",4,"")))</f>
        <v>7</v>
      </c>
      <c r="F100" s="103">
        <f t="shared" si="6"/>
        <v>210</v>
      </c>
      <c r="G100" s="83"/>
      <c r="H100" s="303">
        <v>0</v>
      </c>
      <c r="I100" s="71" t="s">
        <v>192</v>
      </c>
      <c r="J100" s="142">
        <f>H100*3.65</f>
        <v>0</v>
      </c>
      <c r="K100" s="143"/>
      <c r="L100" s="83"/>
      <c r="M100" s="522"/>
      <c r="N100" s="492"/>
      <c r="O100" s="83"/>
      <c r="P100" s="83"/>
      <c r="Q100" s="83"/>
    </row>
    <row r="101" spans="1:17" s="81" customFormat="1" x14ac:dyDescent="0.25">
      <c r="A101" s="88"/>
      <c r="B101" s="79"/>
      <c r="C101" s="80"/>
      <c r="D101" s="82"/>
      <c r="E101" s="126">
        <f>SUM(E97:E100)</f>
        <v>28</v>
      </c>
      <c r="F101" s="127">
        <f>SUM(F97:F100)</f>
        <v>840</v>
      </c>
      <c r="G101" s="83"/>
      <c r="H101" s="80"/>
      <c r="J101" s="128">
        <f>SUM(J95:J100)</f>
        <v>156.64000000000001</v>
      </c>
      <c r="K101" s="129">
        <f>ROUNDUP(SUM(K95:K100),0)</f>
        <v>438</v>
      </c>
      <c r="L101" s="83"/>
      <c r="M101" s="433" t="s">
        <v>202</v>
      </c>
      <c r="N101" s="428">
        <f>+K101-J101</f>
        <v>281.36</v>
      </c>
      <c r="O101" s="83"/>
      <c r="P101" s="83"/>
      <c r="Q101" s="83"/>
    </row>
    <row r="102" spans="1:17" s="81" customFormat="1" x14ac:dyDescent="0.25">
      <c r="A102" s="88"/>
      <c r="B102" s="79"/>
      <c r="C102" s="80"/>
      <c r="D102" s="82"/>
      <c r="E102" s="441" t="s">
        <v>204</v>
      </c>
      <c r="F102" s="484">
        <f>+F101/300</f>
        <v>2.8</v>
      </c>
      <c r="G102" s="83"/>
      <c r="H102" s="80"/>
      <c r="I102" s="131" t="s">
        <v>189</v>
      </c>
      <c r="J102" s="113">
        <f>+J101/H95</f>
        <v>0.18647619047619049</v>
      </c>
      <c r="K102" s="112">
        <f>+K101/H95</f>
        <v>0.52142857142857146</v>
      </c>
      <c r="L102" s="83"/>
      <c r="M102" s="522"/>
      <c r="N102" s="492"/>
      <c r="O102" s="83"/>
      <c r="P102" s="83"/>
      <c r="Q102" s="83"/>
    </row>
    <row r="104" spans="1:17" s="379" customFormat="1" x14ac:dyDescent="0.25">
      <c r="D104" s="380"/>
      <c r="F104" s="141"/>
      <c r="G104" s="382"/>
      <c r="H104" s="383"/>
      <c r="K104" s="141"/>
      <c r="N104" s="506"/>
    </row>
    <row r="105" spans="1:17" s="379" customFormat="1" x14ac:dyDescent="0.25">
      <c r="D105" s="380"/>
      <c r="F105" s="141"/>
      <c r="G105" s="382"/>
      <c r="H105" s="383"/>
      <c r="K105" s="141"/>
      <c r="N105" s="506"/>
    </row>
    <row r="106" spans="1:17" s="379" customFormat="1" x14ac:dyDescent="0.25">
      <c r="D106" s="380"/>
      <c r="F106" s="141"/>
      <c r="G106" s="382"/>
      <c r="H106" s="383"/>
      <c r="K106" s="141"/>
      <c r="N106" s="506"/>
    </row>
    <row r="107" spans="1:17" x14ac:dyDescent="0.25">
      <c r="F107" s="62"/>
      <c r="M107" s="62"/>
      <c r="N107"/>
    </row>
    <row r="108" spans="1:17" x14ac:dyDescent="0.25">
      <c r="F108" s="62"/>
      <c r="M108" s="62"/>
      <c r="N108"/>
    </row>
    <row r="109" spans="1:17" x14ac:dyDescent="0.25">
      <c r="A109" t="s">
        <v>351</v>
      </c>
      <c r="E109" s="62"/>
      <c r="F109" s="62"/>
      <c r="I109" s="62"/>
      <c r="J109" s="62"/>
      <c r="M109"/>
      <c r="N109"/>
    </row>
    <row r="110" spans="1:17" ht="17.25" customHeight="1" x14ac:dyDescent="0.25">
      <c r="D110" s="516" t="s">
        <v>375</v>
      </c>
      <c r="E110" s="62"/>
      <c r="F110" s="62"/>
      <c r="I110" s="62"/>
      <c r="J110" s="62"/>
      <c r="M110"/>
      <c r="N110"/>
    </row>
    <row r="111" spans="1:17" s="61" customFormat="1" x14ac:dyDescent="0.25">
      <c r="A111" s="61" t="s">
        <v>368</v>
      </c>
      <c r="D111" s="61" t="s">
        <v>369</v>
      </c>
      <c r="E111" s="453"/>
      <c r="F111" s="453"/>
      <c r="G111" s="458"/>
      <c r="H111" s="459"/>
      <c r="I111" s="453"/>
      <c r="J111" s="453"/>
      <c r="K111" s="453"/>
    </row>
    <row r="112" spans="1:17" x14ac:dyDescent="0.25">
      <c r="A112" t="s">
        <v>381</v>
      </c>
      <c r="B112" s="61"/>
      <c r="E112" s="62" t="s">
        <v>366</v>
      </c>
      <c r="F112" s="461">
        <f>F101</f>
        <v>840</v>
      </c>
      <c r="I112" s="62"/>
      <c r="J112" s="62"/>
      <c r="M112"/>
      <c r="N112"/>
    </row>
    <row r="113" spans="1:14" x14ac:dyDescent="0.25">
      <c r="A113" s="368" t="s">
        <v>364</v>
      </c>
      <c r="B113" s="460">
        <f>N101</f>
        <v>281.36</v>
      </c>
      <c r="E113" s="71" t="s">
        <v>360</v>
      </c>
      <c r="F113" s="71">
        <v>10</v>
      </c>
      <c r="I113" s="62"/>
      <c r="J113" s="62"/>
      <c r="M113"/>
      <c r="N113"/>
    </row>
    <row r="114" spans="1:14" x14ac:dyDescent="0.25">
      <c r="E114" s="62"/>
      <c r="F114" s="62">
        <f>+F113*F112</f>
        <v>8400</v>
      </c>
      <c r="G114" s="13" t="s">
        <v>367</v>
      </c>
      <c r="I114" s="62"/>
      <c r="J114" s="62"/>
      <c r="M114"/>
      <c r="N114"/>
    </row>
    <row r="115" spans="1:14" x14ac:dyDescent="0.25">
      <c r="E115" s="453" t="s">
        <v>361</v>
      </c>
      <c r="F115" s="453">
        <f>ROUNDUP((F114/300),0)</f>
        <v>28</v>
      </c>
      <c r="I115" s="62"/>
      <c r="J115" s="62"/>
      <c r="M115"/>
      <c r="N115"/>
    </row>
    <row r="116" spans="1:14" x14ac:dyDescent="0.25">
      <c r="E116" s="62" t="s">
        <v>362</v>
      </c>
      <c r="F116" s="454">
        <f>+F115*E5</f>
        <v>2800</v>
      </c>
      <c r="I116" s="62"/>
      <c r="J116" s="62"/>
      <c r="M116"/>
      <c r="N116"/>
    </row>
    <row r="117" spans="1:14" x14ac:dyDescent="0.25">
      <c r="E117" s="62"/>
      <c r="F117" s="62"/>
      <c r="I117" s="62"/>
      <c r="J117" s="62"/>
      <c r="M117"/>
      <c r="N117"/>
    </row>
    <row r="118" spans="1:14" x14ac:dyDescent="0.25">
      <c r="D118" s="455"/>
      <c r="E118" s="456" t="s">
        <v>363</v>
      </c>
      <c r="F118" s="457">
        <f>+F116/10</f>
        <v>280</v>
      </c>
      <c r="I118" s="62"/>
      <c r="J118" s="62"/>
      <c r="M118"/>
      <c r="N118"/>
    </row>
    <row r="119" spans="1:14" x14ac:dyDescent="0.25">
      <c r="F119" s="62"/>
      <c r="M119"/>
      <c r="N119"/>
    </row>
    <row r="121" spans="1:14" s="379" customFormat="1" x14ac:dyDescent="0.25">
      <c r="D121" s="380"/>
      <c r="E121" s="141"/>
      <c r="F121" s="141"/>
      <c r="G121" s="382"/>
      <c r="H121" s="383"/>
      <c r="I121" s="141"/>
      <c r="J121" s="141"/>
      <c r="K121" s="141"/>
    </row>
    <row r="122" spans="1:14" s="379" customFormat="1" x14ac:dyDescent="0.25">
      <c r="D122" s="380"/>
      <c r="E122" s="141"/>
      <c r="F122" s="141"/>
      <c r="G122" s="382"/>
      <c r="H122" s="383"/>
      <c r="I122" s="141"/>
      <c r="J122" s="141"/>
      <c r="K122" s="141"/>
    </row>
    <row r="123" spans="1:14" s="379" customFormat="1" x14ac:dyDescent="0.25">
      <c r="D123" s="380"/>
      <c r="E123" s="141"/>
      <c r="F123" s="141"/>
      <c r="G123" s="382"/>
      <c r="H123" s="383"/>
      <c r="I123" s="141"/>
      <c r="J123" s="141"/>
      <c r="K123" s="141"/>
    </row>
    <row r="124" spans="1:14" x14ac:dyDescent="0.25">
      <c r="E124" s="62"/>
      <c r="F124" s="62"/>
      <c r="I124" s="62"/>
      <c r="J124" s="62"/>
      <c r="M124"/>
      <c r="N124"/>
    </row>
    <row r="125" spans="1:14" x14ac:dyDescent="0.25">
      <c r="E125" s="62"/>
      <c r="F125" s="62"/>
      <c r="I125" s="62"/>
      <c r="J125" s="62"/>
      <c r="M125"/>
      <c r="N125"/>
    </row>
    <row r="126" spans="1:14" x14ac:dyDescent="0.25">
      <c r="A126" t="s">
        <v>387</v>
      </c>
      <c r="E126" s="62"/>
      <c r="F126" s="62"/>
      <c r="G126" t="s">
        <v>387</v>
      </c>
      <c r="H126"/>
      <c r="J126" s="67"/>
      <c r="M126"/>
      <c r="N126"/>
    </row>
    <row r="127" spans="1:14" x14ac:dyDescent="0.25">
      <c r="A127" t="s">
        <v>388</v>
      </c>
      <c r="E127" s="62"/>
      <c r="F127" s="62"/>
      <c r="G127" s="64" t="s">
        <v>390</v>
      </c>
      <c r="H127"/>
      <c r="J127" s="67"/>
      <c r="M127"/>
      <c r="N127"/>
    </row>
    <row r="128" spans="1:14" x14ac:dyDescent="0.25">
      <c r="E128" s="62"/>
      <c r="F128" s="62"/>
      <c r="G128"/>
      <c r="H128"/>
      <c r="J128" s="67"/>
      <c r="M128"/>
      <c r="N128"/>
    </row>
    <row r="129" spans="1:14" s="587" customFormat="1" x14ac:dyDescent="0.25">
      <c r="B129" s="587" t="s">
        <v>389</v>
      </c>
      <c r="C129" s="64" t="s">
        <v>113</v>
      </c>
      <c r="D129" s="593" t="s">
        <v>202</v>
      </c>
      <c r="E129" s="588"/>
      <c r="F129" s="588"/>
      <c r="H129" s="587" t="s">
        <v>389</v>
      </c>
      <c r="I129" s="64" t="s">
        <v>113</v>
      </c>
      <c r="J129" s="593" t="s">
        <v>202</v>
      </c>
      <c r="K129" s="588"/>
    </row>
    <row r="130" spans="1:14" s="587" customFormat="1" x14ac:dyDescent="0.25">
      <c r="A130" s="599">
        <v>0</v>
      </c>
      <c r="B130" s="66">
        <f>K101</f>
        <v>438</v>
      </c>
      <c r="C130" s="65">
        <f>J101</f>
        <v>156.64000000000001</v>
      </c>
      <c r="D130" s="603">
        <f>+B130-C130</f>
        <v>281.36</v>
      </c>
      <c r="E130" s="588"/>
      <c r="F130" s="588"/>
      <c r="G130" s="599">
        <v>0</v>
      </c>
      <c r="H130" s="602">
        <f>K35</f>
        <v>153</v>
      </c>
      <c r="I130" s="600">
        <f>J35</f>
        <v>57.843999999999994</v>
      </c>
      <c r="J130" s="601">
        <f>+H130-I130</f>
        <v>95.156000000000006</v>
      </c>
      <c r="K130" s="588"/>
    </row>
    <row r="131" spans="1:14" s="64" customFormat="1" x14ac:dyDescent="0.25">
      <c r="A131" s="596">
        <v>0.1</v>
      </c>
      <c r="B131" s="66">
        <f>0.9*B130</f>
        <v>394.2</v>
      </c>
      <c r="C131" s="65">
        <f>C130</f>
        <v>156.64000000000001</v>
      </c>
      <c r="D131" s="603">
        <f t="shared" ref="D131:D134" si="7">+B131-C131</f>
        <v>237.55999999999997</v>
      </c>
      <c r="E131" s="225"/>
      <c r="F131" s="225"/>
      <c r="G131" s="596">
        <v>0.1</v>
      </c>
      <c r="H131" s="587">
        <f>0.9*H130</f>
        <v>137.70000000000002</v>
      </c>
      <c r="I131" s="600">
        <f>I130</f>
        <v>57.843999999999994</v>
      </c>
      <c r="J131" s="601">
        <f t="shared" ref="J131:J134" si="8">+H131-I131</f>
        <v>79.856000000000023</v>
      </c>
      <c r="K131" s="225"/>
    </row>
    <row r="132" spans="1:14" s="507" customFormat="1" x14ac:dyDescent="0.25">
      <c r="A132" s="597">
        <v>0.15</v>
      </c>
      <c r="B132" s="66">
        <f>+B130*0.85</f>
        <v>372.3</v>
      </c>
      <c r="C132" s="65">
        <f t="shared" ref="C132:C134" si="9">C131</f>
        <v>156.64000000000001</v>
      </c>
      <c r="D132" s="603">
        <f t="shared" si="7"/>
        <v>215.66</v>
      </c>
      <c r="E132" s="498"/>
      <c r="F132" s="498"/>
      <c r="G132" s="597">
        <v>0.15</v>
      </c>
      <c r="H132" s="587">
        <f>+H130*0.85</f>
        <v>130.04999999999998</v>
      </c>
      <c r="I132" s="600">
        <f t="shared" ref="I132:I134" si="10">I131</f>
        <v>57.843999999999994</v>
      </c>
      <c r="J132" s="601">
        <f t="shared" si="8"/>
        <v>72.205999999999989</v>
      </c>
      <c r="K132" s="498"/>
    </row>
    <row r="133" spans="1:14" x14ac:dyDescent="0.25">
      <c r="A133" s="598">
        <v>0.2</v>
      </c>
      <c r="B133" s="66">
        <f>0.8*B130</f>
        <v>350.40000000000003</v>
      </c>
      <c r="C133" s="65">
        <f t="shared" si="9"/>
        <v>156.64000000000001</v>
      </c>
      <c r="D133" s="604">
        <f t="shared" si="7"/>
        <v>193.76000000000002</v>
      </c>
      <c r="E133" s="62"/>
      <c r="F133" s="62"/>
      <c r="G133" s="598">
        <v>0.2</v>
      </c>
      <c r="H133" s="587">
        <f>0.8*H130</f>
        <v>122.4</v>
      </c>
      <c r="I133" s="600">
        <f t="shared" si="10"/>
        <v>57.843999999999994</v>
      </c>
      <c r="J133" s="601">
        <f t="shared" si="8"/>
        <v>64.556000000000012</v>
      </c>
      <c r="M133"/>
      <c r="N133"/>
    </row>
    <row r="134" spans="1:14" x14ac:dyDescent="0.25">
      <c r="A134" s="598">
        <v>0.25</v>
      </c>
      <c r="B134" s="66">
        <f>0.75*B130</f>
        <v>328.5</v>
      </c>
      <c r="C134" s="65">
        <f t="shared" si="9"/>
        <v>156.64000000000001</v>
      </c>
      <c r="D134" s="604">
        <f t="shared" si="7"/>
        <v>171.85999999999999</v>
      </c>
      <c r="E134" s="62"/>
      <c r="F134" s="62"/>
      <c r="G134" s="598">
        <v>0.25</v>
      </c>
      <c r="H134" s="587">
        <f>0.755*H130</f>
        <v>115.515</v>
      </c>
      <c r="I134" s="600">
        <f t="shared" si="10"/>
        <v>57.843999999999994</v>
      </c>
      <c r="J134" s="601">
        <f t="shared" si="8"/>
        <v>57.671000000000006</v>
      </c>
      <c r="M134"/>
      <c r="N134"/>
    </row>
  </sheetData>
  <dataValidations count="1">
    <dataValidation type="list" allowBlank="1" showInputMessage="1" showErrorMessage="1" sqref="B31:B34 B43:B46 B61:B64 B17:B20 B73:B76 B85:B88 B97:B100" xr:uid="{2ACC3749-9652-48B6-AA68-47ECC098F5C8}">
      <formula1>$M$1:$M$3</formula1>
    </dataValidation>
  </dataValidations>
  <pageMargins left="0.7" right="0.7" top="0.75" bottom="0.75" header="0.3" footer="0.3"/>
  <pageSetup scale="62" fitToHeight="1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40EA-A24D-4B4F-A263-55F255F6C177}">
  <sheetPr codeName="Sheet11">
    <pageSetUpPr fitToPage="1"/>
  </sheetPr>
  <dimension ref="A1:R95"/>
  <sheetViews>
    <sheetView topLeftCell="A46" workbookViewId="0">
      <selection activeCell="A63" sqref="A63"/>
    </sheetView>
  </sheetViews>
  <sheetFormatPr defaultColWidth="12.125" defaultRowHeight="15.75" x14ac:dyDescent="0.25"/>
  <cols>
    <col min="1" max="1" width="9.375" customWidth="1"/>
    <col min="4" max="4" width="12.125" style="67"/>
    <col min="6" max="6" width="12.125" style="95"/>
    <col min="7" max="7" width="12.125" style="13"/>
    <col min="8" max="8" width="12.125" style="96"/>
    <col min="11" max="11" width="12.125" style="62"/>
    <col min="13" max="13" width="12.125" style="498"/>
  </cols>
  <sheetData>
    <row r="1" spans="1:18" ht="30.75" customHeight="1" x14ac:dyDescent="0.55000000000000004">
      <c r="A1" s="234" t="s">
        <v>111</v>
      </c>
      <c r="B1" s="236"/>
      <c r="C1" s="236"/>
      <c r="H1" s="117"/>
      <c r="I1" s="287"/>
      <c r="J1" s="287"/>
      <c r="K1" s="117"/>
      <c r="L1" s="117"/>
      <c r="N1" s="389" t="s">
        <v>203</v>
      </c>
    </row>
    <row r="2" spans="1:18" s="98" customFormat="1" x14ac:dyDescent="0.25">
      <c r="A2" s="87"/>
      <c r="B2" s="200">
        <f>'Pep Costs'!B17</f>
        <v>47</v>
      </c>
      <c r="C2" s="87" t="s">
        <v>142</v>
      </c>
      <c r="D2" s="113"/>
      <c r="G2" s="113"/>
      <c r="H2" s="117"/>
      <c r="I2" s="429"/>
      <c r="J2" s="430"/>
      <c r="K2" s="471"/>
      <c r="L2" s="117"/>
      <c r="M2" s="499"/>
      <c r="N2" s="490" t="s">
        <v>187</v>
      </c>
      <c r="O2" s="117"/>
      <c r="P2" s="117"/>
      <c r="Q2" s="117"/>
      <c r="R2" s="117"/>
    </row>
    <row r="3" spans="1:18" s="98" customFormat="1" x14ac:dyDescent="0.25">
      <c r="A3" s="87"/>
      <c r="B3" s="170">
        <v>3.3</v>
      </c>
      <c r="C3" s="170" t="s">
        <v>185</v>
      </c>
      <c r="D3" s="113"/>
      <c r="G3" s="113"/>
      <c r="H3" s="117"/>
      <c r="I3" s="117"/>
      <c r="J3" s="117"/>
      <c r="K3" s="152"/>
      <c r="L3" s="117"/>
      <c r="M3" s="499"/>
      <c r="N3" s="490" t="s">
        <v>206</v>
      </c>
      <c r="O3" s="117"/>
      <c r="P3" s="117"/>
      <c r="Q3" s="117"/>
      <c r="R3" s="117"/>
    </row>
    <row r="4" spans="1:18" s="98" customFormat="1" ht="36" customHeight="1" x14ac:dyDescent="0.4">
      <c r="A4" s="87"/>
      <c r="B4" s="142">
        <v>15</v>
      </c>
      <c r="C4" s="656" t="s">
        <v>230</v>
      </c>
      <c r="D4" s="657"/>
      <c r="F4" s="511" t="s">
        <v>349</v>
      </c>
      <c r="G4" s="512" t="s">
        <v>144</v>
      </c>
      <c r="H4" s="117"/>
      <c r="I4" s="158"/>
      <c r="J4" s="117"/>
      <c r="K4" s="152"/>
      <c r="L4" s="117"/>
      <c r="M4" s="499"/>
      <c r="N4" s="157"/>
      <c r="O4" s="117"/>
      <c r="P4" s="117"/>
      <c r="Q4" s="117"/>
      <c r="R4" s="117"/>
    </row>
    <row r="5" spans="1:18" s="98" customFormat="1" x14ac:dyDescent="0.25">
      <c r="A5" s="314"/>
      <c r="B5" s="87">
        <f>SUM(B2:B4)</f>
        <v>65.3</v>
      </c>
      <c r="C5" s="87"/>
      <c r="D5" s="387"/>
      <c r="F5" s="391">
        <v>100</v>
      </c>
      <c r="G5" s="130">
        <f>+F5+B5</f>
        <v>165.3</v>
      </c>
      <c r="H5" s="117"/>
      <c r="I5" s="158"/>
      <c r="J5" s="117"/>
      <c r="K5" s="152"/>
      <c r="L5" s="117"/>
      <c r="M5" s="499"/>
      <c r="O5" s="117"/>
      <c r="P5" s="117"/>
      <c r="Q5" s="117"/>
      <c r="R5" s="117"/>
    </row>
    <row r="6" spans="1:18" s="98" customFormat="1" x14ac:dyDescent="0.25">
      <c r="A6" s="87"/>
      <c r="B6" s="87"/>
      <c r="C6" s="87"/>
      <c r="F6" s="121"/>
      <c r="G6" s="207"/>
      <c r="H6" s="117"/>
      <c r="I6" s="80"/>
      <c r="K6" s="152"/>
      <c r="L6" s="153"/>
      <c r="M6" s="428"/>
      <c r="N6" s="117"/>
      <c r="O6" s="117"/>
      <c r="P6" s="117"/>
      <c r="Q6" s="117"/>
      <c r="R6" s="117"/>
    </row>
    <row r="7" spans="1:18" s="98" customFormat="1" x14ac:dyDescent="0.25">
      <c r="A7" s="225" t="s">
        <v>189</v>
      </c>
      <c r="B7" s="87">
        <f>+B5/300</f>
        <v>0.21766666666666665</v>
      </c>
      <c r="C7" s="87"/>
      <c r="F7" s="394" t="s">
        <v>189</v>
      </c>
      <c r="G7" s="392">
        <f>+G5/300</f>
        <v>0.55100000000000005</v>
      </c>
      <c r="H7" s="80"/>
      <c r="J7" s="152"/>
      <c r="K7" s="153"/>
      <c r="L7" s="117"/>
      <c r="M7" s="428"/>
      <c r="N7" s="117"/>
      <c r="O7" s="117"/>
      <c r="P7" s="117"/>
      <c r="Q7" s="117"/>
    </row>
    <row r="8" spans="1:18" s="117" customFormat="1" x14ac:dyDescent="0.25">
      <c r="A8" s="62"/>
      <c r="B8" s="128"/>
      <c r="D8" s="389"/>
      <c r="E8" s="388"/>
      <c r="F8" s="397"/>
      <c r="H8" s="158"/>
      <c r="J8" s="152"/>
      <c r="K8" s="153"/>
      <c r="M8" s="428"/>
    </row>
    <row r="9" spans="1:18" s="161" customFormat="1" x14ac:dyDescent="0.25">
      <c r="A9" s="159"/>
      <c r="B9" s="160"/>
      <c r="D9" s="162"/>
      <c r="E9" s="163"/>
      <c r="H9" s="164"/>
      <c r="J9" s="165"/>
      <c r="K9" s="166"/>
      <c r="M9" s="523"/>
    </row>
    <row r="10" spans="1:18" s="161" customFormat="1" x14ac:dyDescent="0.25">
      <c r="A10" s="159"/>
      <c r="B10" s="160"/>
      <c r="D10" s="162"/>
      <c r="E10" s="163"/>
      <c r="H10" s="164"/>
      <c r="J10" s="165"/>
      <c r="K10" s="166"/>
      <c r="M10" s="523"/>
    </row>
    <row r="11" spans="1:18" s="241" customFormat="1" x14ac:dyDescent="0.25">
      <c r="A11" s="313"/>
      <c r="B11" s="240"/>
      <c r="D11" s="283"/>
      <c r="E11" s="284"/>
      <c r="H11" s="173"/>
      <c r="J11" s="244"/>
      <c r="K11" s="245"/>
      <c r="M11" s="535"/>
    </row>
    <row r="12" spans="1:18" s="98" customFormat="1" x14ac:dyDescent="0.25">
      <c r="A12" s="15"/>
      <c r="B12" s="87"/>
      <c r="C12" s="80"/>
      <c r="D12" s="115"/>
      <c r="E12" s="116"/>
      <c r="G12" s="117"/>
      <c r="H12" s="80"/>
      <c r="J12" s="152"/>
      <c r="K12" s="153"/>
      <c r="L12" s="117"/>
      <c r="M12" s="428"/>
      <c r="N12" s="117"/>
      <c r="O12" s="117"/>
      <c r="P12" s="117"/>
      <c r="Q12" s="117"/>
    </row>
    <row r="13" spans="1:18" s="98" customFormat="1" x14ac:dyDescent="0.25">
      <c r="A13" s="168" t="s">
        <v>218</v>
      </c>
      <c r="B13" s="87"/>
      <c r="C13" s="80"/>
      <c r="D13" s="115"/>
      <c r="E13" s="116"/>
      <c r="G13" s="117"/>
      <c r="H13" s="266"/>
      <c r="I13" s="263"/>
      <c r="J13" s="263"/>
      <c r="K13" s="280" t="s">
        <v>144</v>
      </c>
      <c r="L13" s="117"/>
      <c r="M13" s="428"/>
      <c r="N13" s="117"/>
      <c r="O13" s="117"/>
      <c r="P13" s="117"/>
      <c r="Q13" s="117"/>
    </row>
    <row r="14" spans="1:18" s="98" customFormat="1" x14ac:dyDescent="0.25">
      <c r="A14" s="15"/>
      <c r="B14" s="121"/>
      <c r="C14" s="80"/>
      <c r="D14" s="115"/>
      <c r="E14" s="116"/>
      <c r="G14" s="117"/>
      <c r="H14" s="261">
        <f>ROUNDUP(F20,0)</f>
        <v>57</v>
      </c>
      <c r="I14" s="262" t="s">
        <v>201</v>
      </c>
      <c r="J14" s="87">
        <f>+B7*F20</f>
        <v>12.406999999999998</v>
      </c>
      <c r="K14" s="264">
        <f>+F20*G7</f>
        <v>31.407000000000004</v>
      </c>
      <c r="L14" s="117"/>
      <c r="M14" s="428"/>
      <c r="N14" s="117"/>
      <c r="O14" s="117"/>
      <c r="P14" s="117"/>
      <c r="Q14" s="117"/>
    </row>
    <row r="15" spans="1:18" s="125" customFormat="1" ht="31.5" x14ac:dyDescent="0.25">
      <c r="A15" s="182"/>
      <c r="B15" s="183" t="s">
        <v>199</v>
      </c>
      <c r="C15" s="184" t="s">
        <v>196</v>
      </c>
      <c r="D15" s="183" t="s">
        <v>197</v>
      </c>
      <c r="E15" s="169" t="s">
        <v>198</v>
      </c>
      <c r="F15" s="185" t="s">
        <v>188</v>
      </c>
      <c r="G15" s="124"/>
      <c r="H15" s="354">
        <v>0</v>
      </c>
      <c r="I15" s="309" t="s">
        <v>177</v>
      </c>
      <c r="J15" s="310">
        <f>+H15*45</f>
        <v>0</v>
      </c>
      <c r="K15" s="311">
        <f>+H15*85</f>
        <v>0</v>
      </c>
      <c r="L15" s="124"/>
      <c r="M15" s="526"/>
      <c r="N15" s="124"/>
      <c r="O15" s="124"/>
      <c r="P15" s="124"/>
      <c r="Q15" s="124"/>
    </row>
    <row r="16" spans="1:18" s="81" customFormat="1" x14ac:dyDescent="0.25">
      <c r="A16" s="306" t="s">
        <v>219</v>
      </c>
      <c r="B16" s="347" t="s">
        <v>187</v>
      </c>
      <c r="C16" s="348">
        <v>100</v>
      </c>
      <c r="D16" s="352">
        <v>3</v>
      </c>
      <c r="E16" s="356">
        <f>IF(B16="Daily",7, IF(B16="Weekly",1, IF(B16="Every Other Day",4,"")))</f>
        <v>4</v>
      </c>
      <c r="F16" s="255">
        <f>+D16*E16</f>
        <v>12</v>
      </c>
      <c r="G16" s="83"/>
      <c r="H16" s="266">
        <f>IF(E20&gt;=25, E20+2, E20+1)</f>
        <v>20</v>
      </c>
      <c r="I16" s="305" t="s">
        <v>217</v>
      </c>
      <c r="J16" s="87"/>
      <c r="K16" s="263"/>
      <c r="L16" s="83"/>
      <c r="M16" s="522"/>
      <c r="N16" s="83"/>
      <c r="O16" s="83"/>
      <c r="P16" s="83"/>
      <c r="Q16" s="83"/>
    </row>
    <row r="17" spans="1:17" s="81" customFormat="1" x14ac:dyDescent="0.25">
      <c r="A17" s="306" t="s">
        <v>219</v>
      </c>
      <c r="B17" s="347" t="s">
        <v>203</v>
      </c>
      <c r="C17" s="349">
        <v>100</v>
      </c>
      <c r="D17" s="353">
        <v>3</v>
      </c>
      <c r="E17" s="357">
        <f>IF(B17="Daily",7, IF(B17="Weekly",1, IF(B17="Every Other Day",4,"")))</f>
        <v>7</v>
      </c>
      <c r="F17" s="255">
        <f t="shared" ref="F17:F19" si="0">+D17*E17</f>
        <v>21</v>
      </c>
      <c r="G17" s="83"/>
      <c r="H17" s="266">
        <f>ROUNDUP(F21,0)</f>
        <v>1</v>
      </c>
      <c r="I17" s="305" t="s">
        <v>190</v>
      </c>
      <c r="J17" s="87"/>
      <c r="K17" s="263"/>
      <c r="L17" s="83"/>
      <c r="M17" s="522"/>
      <c r="N17" s="83"/>
      <c r="O17" s="83"/>
      <c r="P17" s="83"/>
      <c r="Q17" s="83"/>
    </row>
    <row r="18" spans="1:17" s="81" customFormat="1" x14ac:dyDescent="0.25">
      <c r="A18" s="306" t="s">
        <v>219</v>
      </c>
      <c r="B18" s="347" t="s">
        <v>206</v>
      </c>
      <c r="C18" s="349">
        <v>100</v>
      </c>
      <c r="D18" s="353">
        <v>3</v>
      </c>
      <c r="E18" s="357">
        <f>IF(B18="Daily",7, IF(B18="Weekly",1, IF(B18="Every Other Day",4,"")))</f>
        <v>1</v>
      </c>
      <c r="F18" s="255">
        <f t="shared" si="0"/>
        <v>3</v>
      </c>
      <c r="G18" s="83"/>
      <c r="H18" s="266">
        <f>H16</f>
        <v>20</v>
      </c>
      <c r="I18" s="305" t="s">
        <v>200</v>
      </c>
      <c r="J18" s="87"/>
      <c r="K18" s="263"/>
      <c r="L18" s="83"/>
      <c r="M18" s="522"/>
      <c r="N18" s="83"/>
      <c r="O18" s="83"/>
      <c r="P18" s="83"/>
      <c r="Q18" s="83"/>
    </row>
    <row r="19" spans="1:17" s="81" customFormat="1" x14ac:dyDescent="0.25">
      <c r="A19" s="306" t="s">
        <v>219</v>
      </c>
      <c r="B19" s="350" t="s">
        <v>203</v>
      </c>
      <c r="C19" s="351">
        <v>10</v>
      </c>
      <c r="D19" s="350">
        <v>3</v>
      </c>
      <c r="E19" s="358">
        <f>IF(B19="Daily",7, IF(B19="Weekly",1, IF(B19="Every Other Day",4,"")))</f>
        <v>7</v>
      </c>
      <c r="F19" s="260">
        <f t="shared" si="0"/>
        <v>21</v>
      </c>
      <c r="G19" s="83"/>
      <c r="H19" s="355">
        <v>0</v>
      </c>
      <c r="I19" s="304" t="s">
        <v>192</v>
      </c>
      <c r="J19" s="142">
        <f>H19*3.65</f>
        <v>0</v>
      </c>
      <c r="K19" s="267"/>
      <c r="L19" s="83"/>
      <c r="M19" s="522"/>
      <c r="N19" s="83"/>
      <c r="O19" s="83"/>
      <c r="P19" s="83"/>
      <c r="Q19" s="83"/>
    </row>
    <row r="20" spans="1:17" s="81" customFormat="1" x14ac:dyDescent="0.25">
      <c r="A20" s="88"/>
      <c r="B20" s="79"/>
      <c r="C20" s="80"/>
      <c r="D20" s="82"/>
      <c r="E20" s="167">
        <f>SUM(E16:E19)</f>
        <v>19</v>
      </c>
      <c r="F20" s="279">
        <f>SUM(F16:F19)</f>
        <v>57</v>
      </c>
      <c r="G20" s="83"/>
      <c r="H20" s="266"/>
      <c r="I20" s="253"/>
      <c r="J20" s="128">
        <f>SUM(J14:J19)</f>
        <v>12.406999999999998</v>
      </c>
      <c r="K20" s="269">
        <f>ROUNDUP(SUM(K14:K19),0)</f>
        <v>32</v>
      </c>
      <c r="L20" s="83"/>
      <c r="M20" s="433" t="s">
        <v>202</v>
      </c>
      <c r="N20" s="428">
        <f>+K20-J20</f>
        <v>19.593000000000004</v>
      </c>
      <c r="O20" s="83"/>
      <c r="P20" s="83"/>
      <c r="Q20" s="83"/>
    </row>
    <row r="21" spans="1:17" s="81" customFormat="1" x14ac:dyDescent="0.25">
      <c r="A21" s="88"/>
      <c r="B21" s="79"/>
      <c r="C21" s="80"/>
      <c r="D21" s="82"/>
      <c r="E21" s="89" t="s">
        <v>204</v>
      </c>
      <c r="F21" s="110">
        <f>+F20/300</f>
        <v>0.19</v>
      </c>
      <c r="G21" s="83"/>
      <c r="H21" s="80"/>
      <c r="I21" s="131" t="s">
        <v>189</v>
      </c>
      <c r="J21" s="113">
        <f>+J20/H14</f>
        <v>0.21766666666666665</v>
      </c>
      <c r="K21" s="112">
        <f>+K20/H14</f>
        <v>0.56140350877192979</v>
      </c>
      <c r="L21" s="83"/>
      <c r="M21" s="522"/>
      <c r="N21" s="83"/>
      <c r="O21" s="83"/>
      <c r="P21" s="83"/>
      <c r="Q21" s="83"/>
    </row>
    <row r="22" spans="1:17" s="81" customFormat="1" x14ac:dyDescent="0.25">
      <c r="A22" s="88"/>
      <c r="B22" s="79"/>
      <c r="C22" s="80"/>
      <c r="D22" s="82"/>
      <c r="E22" s="109"/>
      <c r="G22" s="83"/>
      <c r="H22" s="80"/>
      <c r="J22" s="111"/>
      <c r="L22" s="83"/>
      <c r="M22" s="522"/>
      <c r="N22" s="83"/>
      <c r="O22" s="83"/>
      <c r="P22" s="83"/>
      <c r="Q22" s="83"/>
    </row>
    <row r="23" spans="1:17" s="174" customFormat="1" x14ac:dyDescent="0.25">
      <c r="A23" s="171"/>
      <c r="B23" s="172"/>
      <c r="C23" s="173"/>
      <c r="D23" s="175"/>
      <c r="E23" s="246"/>
      <c r="H23" s="173"/>
      <c r="I23" s="247"/>
      <c r="J23" s="248"/>
      <c r="K23" s="249"/>
      <c r="M23" s="527"/>
    </row>
    <row r="24" spans="1:17" s="273" customFormat="1" x14ac:dyDescent="0.25">
      <c r="A24" s="312"/>
      <c r="B24" s="272"/>
      <c r="C24" s="164"/>
      <c r="D24" s="274"/>
      <c r="E24" s="281"/>
      <c r="H24" s="164"/>
      <c r="I24" s="276"/>
      <c r="J24" s="282"/>
      <c r="K24" s="278"/>
      <c r="M24" s="528"/>
    </row>
    <row r="25" spans="1:17" s="273" customFormat="1" x14ac:dyDescent="0.25">
      <c r="A25" s="312"/>
      <c r="B25" s="272"/>
      <c r="C25" s="164"/>
      <c r="D25" s="274"/>
      <c r="E25" s="281"/>
      <c r="H25" s="164"/>
      <c r="I25" s="276"/>
      <c r="J25" s="282"/>
      <c r="K25" s="278"/>
      <c r="M25" s="528"/>
    </row>
    <row r="26" spans="1:17" s="98" customFormat="1" x14ac:dyDescent="0.25">
      <c r="A26" s="15"/>
      <c r="B26" s="87"/>
      <c r="C26" s="80"/>
      <c r="D26" s="115"/>
      <c r="E26" s="116"/>
      <c r="G26" s="117"/>
      <c r="H26" s="80"/>
      <c r="J26" s="152"/>
      <c r="K26" s="153"/>
      <c r="L26" s="117"/>
      <c r="M26" s="428"/>
      <c r="N26" s="117"/>
      <c r="O26" s="117"/>
      <c r="P26" s="117"/>
      <c r="Q26" s="117"/>
    </row>
    <row r="27" spans="1:17" s="98" customFormat="1" x14ac:dyDescent="0.25">
      <c r="A27" s="15"/>
      <c r="B27" s="87"/>
      <c r="C27" s="80"/>
      <c r="D27" s="115"/>
      <c r="E27" s="116"/>
      <c r="G27" s="117"/>
      <c r="H27" s="80"/>
      <c r="K27" s="114" t="s">
        <v>144</v>
      </c>
      <c r="L27" s="117"/>
      <c r="M27" s="428"/>
      <c r="N27" s="117"/>
      <c r="O27" s="117"/>
      <c r="P27" s="117"/>
      <c r="Q27" s="117"/>
    </row>
    <row r="28" spans="1:17" s="98" customFormat="1" x14ac:dyDescent="0.25">
      <c r="A28" s="15"/>
      <c r="B28" s="121"/>
      <c r="C28" s="80"/>
      <c r="D28" s="115"/>
      <c r="E28" s="116"/>
      <c r="G28" s="117"/>
      <c r="H28" s="118">
        <f>ROUNDUP(F34,0)</f>
        <v>154</v>
      </c>
      <c r="I28" s="119" t="s">
        <v>201</v>
      </c>
      <c r="J28" s="87">
        <f>F34*B7</f>
        <v>33.520666666666664</v>
      </c>
      <c r="K28" s="120">
        <f>+F34*G7</f>
        <v>84.854000000000013</v>
      </c>
      <c r="L28" s="117"/>
      <c r="M28" s="428"/>
      <c r="N28" s="117"/>
      <c r="O28" s="117"/>
      <c r="P28" s="117"/>
      <c r="Q28" s="117"/>
    </row>
    <row r="29" spans="1:17" s="125" customFormat="1" ht="31.5" x14ac:dyDescent="0.25">
      <c r="A29" s="653" t="s">
        <v>266</v>
      </c>
      <c r="B29" s="148" t="s">
        <v>199</v>
      </c>
      <c r="C29" s="149" t="s">
        <v>196</v>
      </c>
      <c r="D29" s="148" t="s">
        <v>197</v>
      </c>
      <c r="E29" s="122" t="s">
        <v>198</v>
      </c>
      <c r="F29" s="150" t="s">
        <v>188</v>
      </c>
      <c r="G29" s="124"/>
      <c r="H29" s="302">
        <v>0</v>
      </c>
      <c r="I29" s="322" t="s">
        <v>177</v>
      </c>
      <c r="J29" s="310">
        <f>+H29*45</f>
        <v>0</v>
      </c>
      <c r="K29" s="370">
        <f>H29*85</f>
        <v>0</v>
      </c>
      <c r="L29" s="124"/>
      <c r="M29" s="526"/>
      <c r="N29" s="124"/>
      <c r="O29" s="124"/>
      <c r="P29" s="124"/>
      <c r="Q29" s="124"/>
    </row>
    <row r="30" spans="1:17" s="81" customFormat="1" x14ac:dyDescent="0.25">
      <c r="A30" s="78" t="s">
        <v>108</v>
      </c>
      <c r="B30" s="199" t="s">
        <v>203</v>
      </c>
      <c r="C30" s="192">
        <v>100</v>
      </c>
      <c r="D30" s="199">
        <v>3</v>
      </c>
      <c r="E30" s="145">
        <f>IF(B30="Daily",7, IF(B30="Weekly",1, IF(B30="Every Other Day",4,"")))</f>
        <v>7</v>
      </c>
      <c r="F30" s="146">
        <f>+D30*E30</f>
        <v>21</v>
      </c>
      <c r="G30" s="83"/>
      <c r="H30" s="80">
        <f>IF(E34&gt;=25, E34+2, E34+1)</f>
        <v>30</v>
      </c>
      <c r="I30" s="62" t="s">
        <v>217</v>
      </c>
      <c r="J30" s="87"/>
      <c r="K30" s="93"/>
      <c r="L30" s="83"/>
      <c r="M30" s="522"/>
      <c r="N30" s="83"/>
      <c r="O30" s="83"/>
      <c r="P30" s="83"/>
      <c r="Q30" s="83"/>
    </row>
    <row r="31" spans="1:17" s="81" customFormat="1" x14ac:dyDescent="0.25">
      <c r="A31" s="78" t="s">
        <v>109</v>
      </c>
      <c r="B31" s="199" t="s">
        <v>203</v>
      </c>
      <c r="C31" s="192">
        <v>150</v>
      </c>
      <c r="D31" s="199">
        <v>5</v>
      </c>
      <c r="E31" s="147">
        <f>IF(B31="Daily",7, IF(B31="Weekly",1, IF(B31="Every Other Day",4,"")))</f>
        <v>7</v>
      </c>
      <c r="F31" s="146">
        <f t="shared" ref="F31:F33" si="1">+D31*E31</f>
        <v>35</v>
      </c>
      <c r="G31" s="83"/>
      <c r="H31" s="80">
        <f>ROUNDUP(F35,0)</f>
        <v>1</v>
      </c>
      <c r="I31" s="62" t="s">
        <v>190</v>
      </c>
      <c r="J31" s="87"/>
      <c r="K31" s="93"/>
      <c r="L31" s="83"/>
      <c r="M31" s="522"/>
      <c r="N31" s="83"/>
      <c r="O31" s="83"/>
      <c r="P31" s="83"/>
      <c r="Q31" s="83"/>
    </row>
    <row r="32" spans="1:17" s="81" customFormat="1" x14ac:dyDescent="0.25">
      <c r="A32" s="78" t="s">
        <v>110</v>
      </c>
      <c r="B32" s="199" t="s">
        <v>203</v>
      </c>
      <c r="C32" s="192">
        <v>200</v>
      </c>
      <c r="D32" s="199">
        <v>6</v>
      </c>
      <c r="E32" s="147">
        <f>IF(B32="Daily",7, IF(B32="Weekly",1, IF(B32="Every Other Day",4,"")))</f>
        <v>7</v>
      </c>
      <c r="F32" s="146">
        <f t="shared" si="1"/>
        <v>42</v>
      </c>
      <c r="G32" s="83"/>
      <c r="H32" s="80">
        <f>H30</f>
        <v>30</v>
      </c>
      <c r="I32" s="62" t="s">
        <v>200</v>
      </c>
      <c r="J32" s="87"/>
      <c r="K32" s="93"/>
      <c r="L32" s="83"/>
      <c r="M32" s="522"/>
      <c r="N32" s="83"/>
      <c r="O32" s="83"/>
      <c r="P32" s="83"/>
      <c r="Q32" s="83"/>
    </row>
    <row r="33" spans="1:17" s="81" customFormat="1" x14ac:dyDescent="0.25">
      <c r="A33" s="100" t="s">
        <v>141</v>
      </c>
      <c r="B33" s="101" t="s">
        <v>203</v>
      </c>
      <c r="C33" s="102">
        <v>250</v>
      </c>
      <c r="D33" s="101">
        <v>8</v>
      </c>
      <c r="E33" s="144">
        <f>IF(B33="Daily",7, IF(B33="Weekly",1, IF(B33="Every Other Day",4,"")))</f>
        <v>7</v>
      </c>
      <c r="F33" s="103">
        <f t="shared" si="1"/>
        <v>56</v>
      </c>
      <c r="G33" s="83"/>
      <c r="H33" s="303">
        <v>1</v>
      </c>
      <c r="I33" s="71" t="s">
        <v>192</v>
      </c>
      <c r="J33" s="142">
        <f>H33*3.65</f>
        <v>3.65</v>
      </c>
      <c r="K33" s="143"/>
      <c r="L33" s="83"/>
      <c r="M33" s="522"/>
      <c r="N33" s="83"/>
      <c r="O33" s="83"/>
      <c r="P33" s="83"/>
      <c r="Q33" s="83"/>
    </row>
    <row r="34" spans="1:17" s="81" customFormat="1" x14ac:dyDescent="0.25">
      <c r="A34" s="88"/>
      <c r="B34" s="79"/>
      <c r="C34" s="80"/>
      <c r="D34" s="82"/>
      <c r="E34" s="167">
        <f>SUM(E30:E33)</f>
        <v>28</v>
      </c>
      <c r="F34" s="127">
        <f>SUM(F30:F33)</f>
        <v>154</v>
      </c>
      <c r="G34" s="83"/>
      <c r="H34" s="80"/>
      <c r="J34" s="128">
        <f>SUM(J28:J33)</f>
        <v>37.170666666666662</v>
      </c>
      <c r="K34" s="129">
        <f>ROUNDUP(SUM(K28:K33),0)</f>
        <v>85</v>
      </c>
      <c r="L34" s="83"/>
      <c r="M34" s="433" t="s">
        <v>202</v>
      </c>
      <c r="N34" s="428">
        <f>+K34-J34</f>
        <v>47.829333333333338</v>
      </c>
      <c r="O34" s="83"/>
      <c r="P34" s="83"/>
      <c r="Q34" s="83"/>
    </row>
    <row r="35" spans="1:17" s="81" customFormat="1" x14ac:dyDescent="0.25">
      <c r="A35" s="88"/>
      <c r="B35" s="79"/>
      <c r="C35" s="80"/>
      <c r="D35" s="82"/>
      <c r="E35" s="89" t="s">
        <v>204</v>
      </c>
      <c r="F35" s="110">
        <f>+F34/300</f>
        <v>0.51333333333333331</v>
      </c>
      <c r="G35" s="83"/>
      <c r="H35" s="80"/>
      <c r="I35" s="131" t="s">
        <v>189</v>
      </c>
      <c r="J35" s="113">
        <f>+J34/H28</f>
        <v>0.24136796536796534</v>
      </c>
      <c r="K35" s="112">
        <f>+K34/H28</f>
        <v>0.55194805194805197</v>
      </c>
      <c r="L35" s="83"/>
      <c r="M35" s="522"/>
      <c r="N35" s="83"/>
      <c r="O35" s="83"/>
      <c r="P35" s="83"/>
      <c r="Q35" s="83"/>
    </row>
    <row r="36" spans="1:17" s="81" customFormat="1" x14ac:dyDescent="0.25">
      <c r="A36" s="88"/>
      <c r="B36" s="79"/>
      <c r="C36" s="80"/>
      <c r="D36" s="82"/>
      <c r="E36" s="109"/>
      <c r="G36" s="83"/>
      <c r="H36" s="80"/>
      <c r="I36" s="131"/>
      <c r="J36" s="131"/>
      <c r="K36" s="131"/>
      <c r="L36" s="83"/>
      <c r="M36" s="522"/>
      <c r="N36" s="83"/>
      <c r="O36" s="83"/>
      <c r="P36" s="83"/>
      <c r="Q36" s="83"/>
    </row>
    <row r="37" spans="1:17" s="107" customFormat="1" x14ac:dyDescent="0.25">
      <c r="A37" s="104"/>
      <c r="B37" s="105"/>
      <c r="C37" s="106"/>
      <c r="D37" s="108"/>
      <c r="E37" s="151"/>
      <c r="H37" s="106"/>
      <c r="M37" s="529"/>
    </row>
    <row r="38" spans="1:17" s="98" customFormat="1" x14ac:dyDescent="0.25">
      <c r="A38" s="15"/>
      <c r="B38" s="87"/>
      <c r="C38" s="80"/>
      <c r="D38" s="115"/>
      <c r="E38" s="116"/>
      <c r="G38" s="117"/>
      <c r="H38" s="80"/>
      <c r="J38" s="152"/>
      <c r="K38" s="153"/>
      <c r="L38" s="117"/>
      <c r="M38" s="428"/>
      <c r="N38" s="117"/>
      <c r="O38" s="117"/>
      <c r="P38" s="117"/>
      <c r="Q38" s="117"/>
    </row>
    <row r="39" spans="1:17" s="98" customFormat="1" x14ac:dyDescent="0.25">
      <c r="A39" s="15"/>
      <c r="B39" s="87"/>
      <c r="C39" s="80"/>
      <c r="D39" s="115"/>
      <c r="E39" s="116"/>
      <c r="G39" s="117"/>
      <c r="H39" s="80"/>
      <c r="K39" s="114" t="s">
        <v>144</v>
      </c>
      <c r="L39" s="117"/>
      <c r="M39" s="428"/>
      <c r="N39" s="117"/>
      <c r="O39" s="117"/>
      <c r="P39" s="117"/>
      <c r="Q39" s="117"/>
    </row>
    <row r="40" spans="1:17" s="98" customFormat="1" x14ac:dyDescent="0.25">
      <c r="A40" s="15"/>
      <c r="B40" s="121"/>
      <c r="C40" s="80"/>
      <c r="D40" s="115"/>
      <c r="E40" s="116"/>
      <c r="G40" s="117"/>
      <c r="H40" s="118">
        <f>ROUNDUP(F46,0)</f>
        <v>252</v>
      </c>
      <c r="I40" s="119" t="s">
        <v>201</v>
      </c>
      <c r="J40" s="87">
        <f>+B7*F46</f>
        <v>54.851999999999997</v>
      </c>
      <c r="K40" s="120">
        <f>+F46*G7</f>
        <v>138.852</v>
      </c>
      <c r="L40" s="117"/>
      <c r="M40" s="428"/>
      <c r="N40" s="117"/>
      <c r="O40" s="117"/>
      <c r="P40" s="117"/>
      <c r="Q40" s="117"/>
    </row>
    <row r="41" spans="1:17" s="125" customFormat="1" ht="31.5" x14ac:dyDescent="0.25">
      <c r="A41" s="653" t="s">
        <v>268</v>
      </c>
      <c r="B41" s="148" t="s">
        <v>199</v>
      </c>
      <c r="C41" s="149" t="s">
        <v>196</v>
      </c>
      <c r="D41" s="148" t="s">
        <v>197</v>
      </c>
      <c r="E41" s="122" t="s">
        <v>198</v>
      </c>
      <c r="F41" s="150" t="s">
        <v>188</v>
      </c>
      <c r="G41" s="124"/>
      <c r="H41" s="302">
        <v>0</v>
      </c>
      <c r="I41" s="62" t="s">
        <v>177</v>
      </c>
      <c r="J41" s="87">
        <f>+H41*45</f>
        <v>0</v>
      </c>
      <c r="K41" s="93">
        <f>+H41*85</f>
        <v>0</v>
      </c>
      <c r="L41" s="124"/>
      <c r="M41" s="526"/>
      <c r="N41" s="124"/>
      <c r="O41" s="124"/>
      <c r="P41" s="124"/>
      <c r="Q41" s="124"/>
    </row>
    <row r="42" spans="1:17" s="81" customFormat="1" x14ac:dyDescent="0.25">
      <c r="A42" s="78" t="s">
        <v>207</v>
      </c>
      <c r="B42" s="199" t="s">
        <v>203</v>
      </c>
      <c r="C42" s="192">
        <v>300</v>
      </c>
      <c r="D42" s="199">
        <v>9</v>
      </c>
      <c r="E42" s="145">
        <f>IF(B42="Daily",7, IF(B42="Weekly",1, IF(B42="Every Other Day",4,"")))</f>
        <v>7</v>
      </c>
      <c r="F42" s="146">
        <f>+D42*E42</f>
        <v>63</v>
      </c>
      <c r="G42" s="83"/>
      <c r="H42" s="80">
        <f>IF(E46&gt;=25, E46+2, E46+1)</f>
        <v>30</v>
      </c>
      <c r="I42" s="62" t="s">
        <v>217</v>
      </c>
      <c r="J42" s="87"/>
      <c r="K42" s="93"/>
      <c r="L42" s="83"/>
      <c r="M42" s="522"/>
      <c r="N42" s="83"/>
      <c r="O42" s="83"/>
      <c r="P42" s="83"/>
      <c r="Q42" s="83"/>
    </row>
    <row r="43" spans="1:17" s="81" customFormat="1" x14ac:dyDescent="0.25">
      <c r="A43" s="78" t="s">
        <v>208</v>
      </c>
      <c r="B43" s="199" t="s">
        <v>203</v>
      </c>
      <c r="C43" s="192">
        <v>300</v>
      </c>
      <c r="D43" s="199">
        <v>9</v>
      </c>
      <c r="E43" s="147">
        <f>IF(B43="Daily",7, IF(B43="Weekly",1, IF(B43="Every Other Day",4,"")))</f>
        <v>7</v>
      </c>
      <c r="F43" s="146">
        <f t="shared" ref="F43:F45" si="2">+D43*E43</f>
        <v>63</v>
      </c>
      <c r="G43" s="83"/>
      <c r="H43" s="80">
        <f>ROUNDUP(F47,0)</f>
        <v>1</v>
      </c>
      <c r="I43" s="62" t="s">
        <v>190</v>
      </c>
      <c r="J43" s="87"/>
      <c r="K43" s="93"/>
      <c r="L43" s="83"/>
      <c r="M43" s="522"/>
      <c r="N43" s="83"/>
      <c r="O43" s="83"/>
      <c r="P43" s="83"/>
      <c r="Q43" s="83"/>
    </row>
    <row r="44" spans="1:17" s="81" customFormat="1" x14ac:dyDescent="0.25">
      <c r="A44" s="78" t="s">
        <v>209</v>
      </c>
      <c r="B44" s="199" t="s">
        <v>203</v>
      </c>
      <c r="C44" s="192">
        <v>300</v>
      </c>
      <c r="D44" s="199">
        <v>9</v>
      </c>
      <c r="E44" s="147">
        <f>IF(B44="Daily",7, IF(B44="Weekly",1, IF(B44="Every Other Day",4,"")))</f>
        <v>7</v>
      </c>
      <c r="F44" s="146">
        <f t="shared" si="2"/>
        <v>63</v>
      </c>
      <c r="G44" s="83"/>
      <c r="H44" s="80">
        <f>H42</f>
        <v>30</v>
      </c>
      <c r="I44" s="62" t="s">
        <v>200</v>
      </c>
      <c r="J44" s="87"/>
      <c r="K44" s="93"/>
      <c r="L44" s="83"/>
      <c r="M44" s="522"/>
      <c r="N44" s="83"/>
      <c r="O44" s="83"/>
      <c r="P44" s="83"/>
      <c r="Q44" s="83"/>
    </row>
    <row r="45" spans="1:17" s="81" customFormat="1" x14ac:dyDescent="0.25">
      <c r="A45" s="100" t="s">
        <v>210</v>
      </c>
      <c r="B45" s="101" t="s">
        <v>203</v>
      </c>
      <c r="C45" s="102">
        <v>300</v>
      </c>
      <c r="D45" s="101">
        <v>9</v>
      </c>
      <c r="E45" s="144">
        <f>IF(B45="Daily",7, IF(B45="Weekly",1, IF(B45="Every Other Day",4,"")))</f>
        <v>7</v>
      </c>
      <c r="F45" s="103">
        <f t="shared" si="2"/>
        <v>63</v>
      </c>
      <c r="G45" s="83"/>
      <c r="H45" s="303">
        <v>0</v>
      </c>
      <c r="I45" s="71" t="s">
        <v>192</v>
      </c>
      <c r="J45" s="142">
        <f>H45*3.65</f>
        <v>0</v>
      </c>
      <c r="K45" s="143"/>
      <c r="L45" s="83"/>
      <c r="M45" s="522"/>
      <c r="N45" s="83"/>
      <c r="O45" s="83"/>
      <c r="P45" s="83"/>
      <c r="Q45" s="83"/>
    </row>
    <row r="46" spans="1:17" s="81" customFormat="1" x14ac:dyDescent="0.25">
      <c r="A46" s="88"/>
      <c r="B46" s="79"/>
      <c r="C46" s="80"/>
      <c r="D46" s="82"/>
      <c r="E46" s="167">
        <f>SUM(E42:E45)</f>
        <v>28</v>
      </c>
      <c r="F46" s="127">
        <f>SUM(F42:F45)</f>
        <v>252</v>
      </c>
      <c r="G46" s="83"/>
      <c r="H46" s="80"/>
      <c r="J46" s="128">
        <f>SUM(J40:J45)</f>
        <v>54.851999999999997</v>
      </c>
      <c r="K46" s="129">
        <f>ROUNDUP(SUM(K40:K45),0)</f>
        <v>139</v>
      </c>
      <c r="L46" s="83"/>
      <c r="M46" s="522"/>
      <c r="N46" s="83"/>
      <c r="O46" s="83"/>
      <c r="P46" s="83"/>
      <c r="Q46" s="83"/>
    </row>
    <row r="47" spans="1:17" s="81" customFormat="1" x14ac:dyDescent="0.25">
      <c r="A47" s="88"/>
      <c r="B47" s="79"/>
      <c r="C47" s="80"/>
      <c r="D47" s="82"/>
      <c r="E47" s="89" t="s">
        <v>204</v>
      </c>
      <c r="F47" s="110">
        <f>+F46/300</f>
        <v>0.84</v>
      </c>
      <c r="G47" s="83"/>
      <c r="H47" s="80"/>
      <c r="I47" s="131" t="s">
        <v>189</v>
      </c>
      <c r="J47" s="113">
        <f>+J46/H40</f>
        <v>0.21766666666666665</v>
      </c>
      <c r="K47" s="112">
        <f>+K46/H40</f>
        <v>0.55158730158730163</v>
      </c>
      <c r="L47" s="83"/>
      <c r="M47" s="433" t="s">
        <v>202</v>
      </c>
      <c r="N47" s="428">
        <f>+K46-J46</f>
        <v>84.147999999999996</v>
      </c>
      <c r="O47" s="83"/>
      <c r="P47" s="83"/>
      <c r="Q47" s="83"/>
    </row>
    <row r="48" spans="1:17" s="81" customFormat="1" x14ac:dyDescent="0.25">
      <c r="A48" s="88"/>
      <c r="B48" s="79"/>
      <c r="C48" s="80"/>
      <c r="D48" s="82"/>
      <c r="E48" s="109"/>
      <c r="G48" s="83"/>
      <c r="H48" s="80"/>
      <c r="I48" s="131"/>
      <c r="J48" s="131"/>
      <c r="K48" s="131"/>
      <c r="L48" s="83"/>
      <c r="M48" s="522"/>
      <c r="N48" s="83"/>
      <c r="O48" s="83"/>
      <c r="P48" s="83"/>
      <c r="Q48" s="83"/>
    </row>
    <row r="49" spans="1:18" s="135" customFormat="1" x14ac:dyDescent="0.25">
      <c r="A49" s="132"/>
      <c r="B49" s="133"/>
      <c r="C49" s="134"/>
      <c r="D49" s="136"/>
      <c r="E49" s="137"/>
      <c r="H49" s="134"/>
      <c r="I49" s="138"/>
      <c r="J49" s="139"/>
      <c r="K49" s="140"/>
      <c r="M49" s="530"/>
      <c r="N49" s="423"/>
    </row>
    <row r="50" spans="1:18" s="98" customFormat="1" x14ac:dyDescent="0.25">
      <c r="A50" s="15"/>
      <c r="B50" s="87"/>
      <c r="C50" s="80"/>
      <c r="D50" s="115"/>
      <c r="E50" s="116"/>
      <c r="G50" s="117"/>
      <c r="H50" s="80"/>
      <c r="J50" s="152"/>
      <c r="K50" s="153"/>
      <c r="L50" s="117"/>
      <c r="M50" s="428"/>
      <c r="N50" s="117"/>
      <c r="O50" s="117"/>
      <c r="P50" s="117"/>
      <c r="Q50" s="117"/>
    </row>
    <row r="51" spans="1:18" s="98" customFormat="1" x14ac:dyDescent="0.25">
      <c r="A51" s="15"/>
      <c r="B51" s="87"/>
      <c r="C51" s="80"/>
      <c r="D51" s="115"/>
      <c r="E51" s="116"/>
      <c r="G51" s="117"/>
      <c r="H51" s="80"/>
      <c r="K51" s="114" t="s">
        <v>144</v>
      </c>
      <c r="L51" s="117"/>
      <c r="M51" s="428"/>
      <c r="N51" s="117"/>
      <c r="O51" s="117"/>
      <c r="P51" s="117"/>
      <c r="Q51" s="117"/>
    </row>
    <row r="52" spans="1:18" s="98" customFormat="1" x14ac:dyDescent="0.25">
      <c r="A52" s="15"/>
      <c r="B52" s="121"/>
      <c r="C52" s="80"/>
      <c r="D52" s="115"/>
      <c r="E52" s="116"/>
      <c r="G52" s="117"/>
      <c r="H52" s="118">
        <f>ROUNDUP(F58,0)</f>
        <v>252</v>
      </c>
      <c r="I52" s="119" t="s">
        <v>201</v>
      </c>
      <c r="J52" s="87" t="e">
        <f>+B19*F58</f>
        <v>#VALUE!</v>
      </c>
      <c r="K52" s="120">
        <f>+F58*G19</f>
        <v>0</v>
      </c>
      <c r="L52" s="117"/>
      <c r="M52" s="428"/>
      <c r="N52" s="117"/>
      <c r="O52" s="117"/>
      <c r="P52" s="117"/>
      <c r="Q52" s="117"/>
    </row>
    <row r="53" spans="1:18" s="125" customFormat="1" ht="31.5" x14ac:dyDescent="0.25">
      <c r="A53" s="653" t="s">
        <v>269</v>
      </c>
      <c r="B53" s="148" t="s">
        <v>199</v>
      </c>
      <c r="C53" s="149" t="s">
        <v>196</v>
      </c>
      <c r="D53" s="148" t="s">
        <v>197</v>
      </c>
      <c r="E53" s="122" t="s">
        <v>198</v>
      </c>
      <c r="F53" s="150" t="s">
        <v>188</v>
      </c>
      <c r="G53" s="124"/>
      <c r="H53" s="302">
        <v>0</v>
      </c>
      <c r="I53" s="62" t="s">
        <v>177</v>
      </c>
      <c r="J53" s="87">
        <f>+H53*45</f>
        <v>0</v>
      </c>
      <c r="K53" s="93">
        <f>+H53*85</f>
        <v>0</v>
      </c>
      <c r="L53" s="124"/>
      <c r="M53" s="526"/>
      <c r="N53" s="124"/>
      <c r="O53" s="124"/>
      <c r="P53" s="124"/>
      <c r="Q53" s="124"/>
    </row>
    <row r="54" spans="1:18" s="81" customFormat="1" x14ac:dyDescent="0.25">
      <c r="A54" s="193" t="s">
        <v>211</v>
      </c>
      <c r="B54" s="199" t="s">
        <v>203</v>
      </c>
      <c r="C54" s="192">
        <v>300</v>
      </c>
      <c r="D54" s="199">
        <v>9</v>
      </c>
      <c r="E54" s="145">
        <f>IF(B54="Daily",7, IF(B54="Weekly",1, IF(B54="Every Other Day",4,"")))</f>
        <v>7</v>
      </c>
      <c r="F54" s="146">
        <f>+D54*E54</f>
        <v>63</v>
      </c>
      <c r="G54" s="83"/>
      <c r="H54" s="80">
        <f>IF(E58&gt;=25, E58+2, E58+1)</f>
        <v>30</v>
      </c>
      <c r="I54" s="62" t="s">
        <v>217</v>
      </c>
      <c r="J54" s="87"/>
      <c r="K54" s="93"/>
      <c r="L54" s="83"/>
      <c r="M54" s="522"/>
      <c r="N54" s="83"/>
      <c r="O54" s="83"/>
      <c r="P54" s="83"/>
      <c r="Q54" s="83"/>
    </row>
    <row r="55" spans="1:18" s="81" customFormat="1" x14ac:dyDescent="0.25">
      <c r="A55" s="193" t="s">
        <v>212</v>
      </c>
      <c r="B55" s="199" t="s">
        <v>203</v>
      </c>
      <c r="C55" s="192">
        <v>300</v>
      </c>
      <c r="D55" s="199">
        <v>9</v>
      </c>
      <c r="E55" s="147">
        <f>IF(B55="Daily",7, IF(B55="Weekly",1, IF(B55="Every Other Day",4,"")))</f>
        <v>7</v>
      </c>
      <c r="F55" s="146">
        <f t="shared" ref="F55:F57" si="3">+D55*E55</f>
        <v>63</v>
      </c>
      <c r="G55" s="83"/>
      <c r="H55" s="80">
        <f>ROUNDUP(F59,0)</f>
        <v>1</v>
      </c>
      <c r="I55" s="62" t="s">
        <v>190</v>
      </c>
      <c r="J55" s="87"/>
      <c r="K55" s="93"/>
      <c r="L55" s="83"/>
      <c r="M55" s="522"/>
      <c r="N55" s="83"/>
      <c r="O55" s="83"/>
      <c r="P55" s="83"/>
      <c r="Q55" s="83"/>
    </row>
    <row r="56" spans="1:18" s="81" customFormat="1" x14ac:dyDescent="0.25">
      <c r="A56" s="193" t="s">
        <v>213</v>
      </c>
      <c r="B56" s="199" t="s">
        <v>203</v>
      </c>
      <c r="C56" s="192">
        <v>300</v>
      </c>
      <c r="D56" s="199">
        <v>9</v>
      </c>
      <c r="E56" s="147">
        <f>IF(B56="Daily",7, IF(B56="Weekly",1, IF(B56="Every Other Day",4,"")))</f>
        <v>7</v>
      </c>
      <c r="F56" s="146">
        <f t="shared" si="3"/>
        <v>63</v>
      </c>
      <c r="G56" s="83"/>
      <c r="H56" s="80">
        <f>H54</f>
        <v>30</v>
      </c>
      <c r="I56" s="62" t="s">
        <v>200</v>
      </c>
      <c r="J56" s="87"/>
      <c r="K56" s="93"/>
      <c r="L56" s="83"/>
      <c r="M56" s="522"/>
      <c r="N56" s="83"/>
      <c r="O56" s="83"/>
      <c r="P56" s="83"/>
      <c r="Q56" s="83"/>
    </row>
    <row r="57" spans="1:18" s="81" customFormat="1" x14ac:dyDescent="0.25">
      <c r="A57" s="195" t="s">
        <v>214</v>
      </c>
      <c r="B57" s="101" t="s">
        <v>203</v>
      </c>
      <c r="C57" s="102">
        <v>300</v>
      </c>
      <c r="D57" s="101">
        <v>9</v>
      </c>
      <c r="E57" s="144">
        <f>IF(B57="Daily",7, IF(B57="Weekly",1, IF(B57="Every Other Day",4,"")))</f>
        <v>7</v>
      </c>
      <c r="F57" s="103">
        <f t="shared" si="3"/>
        <v>63</v>
      </c>
      <c r="G57" s="83"/>
      <c r="H57" s="303">
        <v>0</v>
      </c>
      <c r="I57" s="71" t="s">
        <v>192</v>
      </c>
      <c r="J57" s="142">
        <f>H57*3.65</f>
        <v>0</v>
      </c>
      <c r="K57" s="143"/>
      <c r="L57" s="83"/>
      <c r="M57" s="522"/>
      <c r="N57" s="83"/>
      <c r="O57" s="83"/>
      <c r="P57" s="83"/>
      <c r="Q57" s="83"/>
    </row>
    <row r="58" spans="1:18" s="81" customFormat="1" x14ac:dyDescent="0.25">
      <c r="A58" s="88"/>
      <c r="B58" s="79"/>
      <c r="C58" s="80"/>
      <c r="D58" s="82"/>
      <c r="E58" s="167">
        <f>SUM(E54:E57)</f>
        <v>28</v>
      </c>
      <c r="F58" s="127">
        <f>SUM(F54:F57)</f>
        <v>252</v>
      </c>
      <c r="G58" s="83"/>
      <c r="H58" s="80"/>
      <c r="J58" s="128" t="e">
        <f>SUM(J52:J57)</f>
        <v>#VALUE!</v>
      </c>
      <c r="K58" s="129">
        <f>ROUNDUP(SUM(K52:K57),0)</f>
        <v>0</v>
      </c>
      <c r="L58" s="83"/>
      <c r="M58" s="522"/>
      <c r="N58" s="83"/>
      <c r="O58" s="83"/>
      <c r="P58" s="83"/>
      <c r="Q58" s="83"/>
    </row>
    <row r="59" spans="1:18" s="81" customFormat="1" x14ac:dyDescent="0.25">
      <c r="A59" s="88"/>
      <c r="B59" s="79"/>
      <c r="C59" s="80"/>
      <c r="D59" s="82"/>
      <c r="E59" s="89" t="s">
        <v>204</v>
      </c>
      <c r="F59" s="110">
        <f>+F58/300</f>
        <v>0.84</v>
      </c>
      <c r="G59" s="83"/>
      <c r="H59" s="80"/>
      <c r="I59" s="131" t="s">
        <v>189</v>
      </c>
      <c r="J59" s="113" t="e">
        <f>+J58/H52</f>
        <v>#VALUE!</v>
      </c>
      <c r="K59" s="112">
        <f>+K58/H52</f>
        <v>0</v>
      </c>
      <c r="L59" s="83"/>
      <c r="M59" s="433" t="s">
        <v>202</v>
      </c>
      <c r="N59" s="428" t="e">
        <f>+K58-J58</f>
        <v>#VALUE!</v>
      </c>
      <c r="O59" s="83"/>
      <c r="P59" s="83"/>
      <c r="Q59" s="83"/>
    </row>
    <row r="60" spans="1:18" s="81" customFormat="1" x14ac:dyDescent="0.25">
      <c r="A60" s="88"/>
      <c r="B60" s="79"/>
      <c r="C60" s="80"/>
      <c r="D60" s="82"/>
      <c r="E60" s="109"/>
      <c r="G60" s="83"/>
      <c r="H60" s="80"/>
      <c r="I60" s="131"/>
      <c r="J60" s="131"/>
      <c r="K60" s="131"/>
      <c r="L60" s="83"/>
      <c r="M60" s="522"/>
      <c r="N60" s="83"/>
      <c r="O60" s="83"/>
      <c r="P60" s="83"/>
      <c r="Q60" s="83"/>
    </row>
    <row r="61" spans="1:18" s="135" customFormat="1" x14ac:dyDescent="0.25">
      <c r="A61" s="132"/>
      <c r="B61" s="133"/>
      <c r="C61" s="134"/>
      <c r="D61" s="136"/>
      <c r="E61" s="137"/>
      <c r="H61" s="134"/>
      <c r="I61" s="138"/>
      <c r="J61" s="139"/>
      <c r="K61" s="140"/>
      <c r="M61" s="530"/>
      <c r="N61" s="423"/>
    </row>
    <row r="62" spans="1:18" s="83" customFormat="1" x14ac:dyDescent="0.25">
      <c r="A62" s="88"/>
      <c r="B62" s="79"/>
      <c r="C62" s="158"/>
      <c r="D62" s="189"/>
      <c r="E62" s="291"/>
      <c r="H62" s="158"/>
      <c r="I62" s="131"/>
      <c r="J62" s="111"/>
      <c r="K62" s="112"/>
      <c r="M62" s="522"/>
      <c r="N62" s="492"/>
    </row>
    <row r="63" spans="1:18" s="81" customFormat="1" x14ac:dyDescent="0.25">
      <c r="A63" s="654" t="s">
        <v>215</v>
      </c>
      <c r="B63" s="79" t="s">
        <v>216</v>
      </c>
      <c r="C63" s="80"/>
      <c r="E63" s="82"/>
      <c r="F63" s="109"/>
      <c r="H63" s="83"/>
      <c r="I63" s="80"/>
      <c r="J63" s="110"/>
      <c r="K63" s="111"/>
      <c r="L63" s="112"/>
      <c r="M63" s="83"/>
      <c r="N63" s="492"/>
      <c r="O63" s="83"/>
      <c r="P63" s="83"/>
      <c r="Q63" s="83"/>
      <c r="R63" s="83"/>
    </row>
    <row r="64" spans="1:18" s="81" customFormat="1" x14ac:dyDescent="0.25">
      <c r="A64" s="13" t="s">
        <v>195</v>
      </c>
      <c r="B64" s="79"/>
      <c r="C64" s="80"/>
      <c r="E64" s="82"/>
      <c r="F64" s="109"/>
      <c r="H64" s="83"/>
      <c r="I64" s="80"/>
      <c r="J64" s="110"/>
      <c r="K64" s="111"/>
      <c r="L64" s="112"/>
      <c r="M64" s="83"/>
      <c r="N64" s="492"/>
      <c r="O64" s="83"/>
      <c r="P64" s="83"/>
      <c r="Q64" s="83"/>
      <c r="R64" s="83"/>
    </row>
    <row r="65" spans="1:18" s="81" customFormat="1" x14ac:dyDescent="0.25">
      <c r="A65" s="13"/>
      <c r="B65" s="79"/>
      <c r="C65" s="80"/>
      <c r="E65" s="82"/>
      <c r="F65" s="109"/>
      <c r="H65" s="83"/>
      <c r="I65" s="80"/>
      <c r="J65" s="110"/>
      <c r="K65" s="111"/>
      <c r="L65" s="112"/>
      <c r="M65" s="83"/>
      <c r="N65" s="492"/>
      <c r="O65" s="83"/>
      <c r="P65" s="83"/>
      <c r="Q65" s="83"/>
      <c r="R65" s="83"/>
    </row>
    <row r="66" spans="1:18" s="379" customFormat="1" x14ac:dyDescent="0.25">
      <c r="D66" s="380"/>
      <c r="F66" s="141"/>
      <c r="G66" s="382"/>
      <c r="H66" s="383"/>
      <c r="K66" s="141"/>
      <c r="N66" s="506"/>
    </row>
    <row r="67" spans="1:18" s="379" customFormat="1" x14ac:dyDescent="0.25">
      <c r="D67" s="380"/>
      <c r="F67" s="141"/>
      <c r="G67" s="382"/>
      <c r="H67" s="383"/>
      <c r="K67" s="141"/>
      <c r="N67" s="506"/>
    </row>
    <row r="68" spans="1:18" s="379" customFormat="1" x14ac:dyDescent="0.25">
      <c r="D68" s="380"/>
      <c r="F68" s="141"/>
      <c r="G68" s="382"/>
      <c r="H68" s="383"/>
      <c r="K68" s="141"/>
      <c r="N68" s="506"/>
    </row>
    <row r="69" spans="1:18" x14ac:dyDescent="0.25">
      <c r="F69" s="62"/>
      <c r="M69" s="62"/>
    </row>
    <row r="70" spans="1:18" x14ac:dyDescent="0.25">
      <c r="A70" t="s">
        <v>351</v>
      </c>
      <c r="E70" s="62"/>
      <c r="F70" s="62"/>
      <c r="I70" s="62"/>
      <c r="J70" s="62"/>
      <c r="M70"/>
    </row>
    <row r="71" spans="1:18" ht="17.25" customHeight="1" x14ac:dyDescent="0.25">
      <c r="D71" s="532" t="s">
        <v>375</v>
      </c>
      <c r="E71" s="62"/>
      <c r="F71" s="62"/>
      <c r="I71" s="62"/>
      <c r="J71" s="62"/>
      <c r="M71"/>
    </row>
    <row r="72" spans="1:18" s="61" customFormat="1" x14ac:dyDescent="0.25">
      <c r="A72" s="61" t="s">
        <v>368</v>
      </c>
      <c r="D72" s="61" t="s">
        <v>369</v>
      </c>
      <c r="E72" s="453"/>
      <c r="F72" s="453"/>
      <c r="G72" s="458"/>
      <c r="H72" s="459"/>
      <c r="I72" s="453"/>
      <c r="J72" s="453"/>
      <c r="K72" s="453"/>
    </row>
    <row r="73" spans="1:18" x14ac:dyDescent="0.25">
      <c r="A73" t="s">
        <v>374</v>
      </c>
      <c r="B73" s="61"/>
      <c r="E73" s="62" t="s">
        <v>366</v>
      </c>
      <c r="F73" s="461">
        <f>F46</f>
        <v>252</v>
      </c>
      <c r="I73" s="62"/>
      <c r="J73" s="62"/>
      <c r="M73"/>
    </row>
    <row r="74" spans="1:18" x14ac:dyDescent="0.25">
      <c r="A74" s="368" t="s">
        <v>364</v>
      </c>
      <c r="B74" s="460">
        <f>N47</f>
        <v>84.147999999999996</v>
      </c>
      <c r="E74" s="71" t="s">
        <v>360</v>
      </c>
      <c r="F74" s="71">
        <v>10</v>
      </c>
      <c r="I74" s="62"/>
      <c r="J74" s="62"/>
      <c r="M74"/>
    </row>
    <row r="75" spans="1:18" x14ac:dyDescent="0.25">
      <c r="E75" s="62"/>
      <c r="F75" s="62">
        <f>+F74*F73</f>
        <v>2520</v>
      </c>
      <c r="G75" s="13" t="s">
        <v>367</v>
      </c>
      <c r="I75" s="62"/>
      <c r="J75" s="62"/>
      <c r="M75"/>
    </row>
    <row r="76" spans="1:18" x14ac:dyDescent="0.25">
      <c r="E76" s="453" t="s">
        <v>361</v>
      </c>
      <c r="F76" s="453">
        <f>ROUNDUP((F75/300),0)</f>
        <v>9</v>
      </c>
      <c r="I76" s="62"/>
      <c r="J76" s="62"/>
      <c r="M76"/>
    </row>
    <row r="77" spans="1:18" x14ac:dyDescent="0.25">
      <c r="E77" s="62" t="s">
        <v>362</v>
      </c>
      <c r="F77" s="454">
        <f>+F76*100</f>
        <v>900</v>
      </c>
      <c r="I77" s="62"/>
      <c r="J77" s="62"/>
      <c r="M77"/>
    </row>
    <row r="78" spans="1:18" x14ac:dyDescent="0.25">
      <c r="E78" s="62"/>
      <c r="F78" s="62"/>
      <c r="I78" s="62"/>
      <c r="J78" s="62"/>
      <c r="M78"/>
    </row>
    <row r="79" spans="1:18" x14ac:dyDescent="0.25">
      <c r="D79" s="455"/>
      <c r="E79" s="456" t="s">
        <v>363</v>
      </c>
      <c r="F79" s="457">
        <f>+F77/10</f>
        <v>90</v>
      </c>
      <c r="I79" s="62"/>
      <c r="J79" s="62"/>
      <c r="M79"/>
    </row>
    <row r="82" spans="1:13" s="379" customFormat="1" x14ac:dyDescent="0.25">
      <c r="D82" s="380"/>
      <c r="E82" s="141"/>
      <c r="F82" s="141"/>
      <c r="G82" s="382"/>
      <c r="H82" s="383"/>
      <c r="I82" s="141"/>
      <c r="J82" s="141"/>
      <c r="K82" s="141"/>
    </row>
    <row r="83" spans="1:13" s="379" customFormat="1" x14ac:dyDescent="0.25">
      <c r="D83" s="380"/>
      <c r="E83" s="141"/>
      <c r="F83" s="141"/>
      <c r="G83" s="382"/>
      <c r="H83" s="383"/>
      <c r="I83" s="141"/>
      <c r="J83" s="141"/>
      <c r="K83" s="141"/>
    </row>
    <row r="84" spans="1:13" s="379" customFormat="1" x14ac:dyDescent="0.25">
      <c r="D84" s="380"/>
      <c r="E84" s="141"/>
      <c r="F84" s="141"/>
      <c r="G84" s="382"/>
      <c r="H84" s="383"/>
      <c r="I84" s="141"/>
      <c r="J84" s="141"/>
      <c r="K84" s="141"/>
    </row>
    <row r="85" spans="1:13" x14ac:dyDescent="0.25">
      <c r="E85" s="62"/>
      <c r="F85" s="62"/>
      <c r="I85" s="62"/>
      <c r="J85" s="62"/>
      <c r="M85"/>
    </row>
    <row r="86" spans="1:13" x14ac:dyDescent="0.25">
      <c r="E86" s="62"/>
      <c r="F86" s="62"/>
      <c r="I86" s="62"/>
      <c r="J86" s="62"/>
      <c r="M86"/>
    </row>
    <row r="87" spans="1:13" x14ac:dyDescent="0.25">
      <c r="A87" t="s">
        <v>387</v>
      </c>
      <c r="E87" s="62"/>
      <c r="F87" s="62"/>
      <c r="G87" t="s">
        <v>387</v>
      </c>
      <c r="H87"/>
      <c r="J87" s="67"/>
      <c r="M87"/>
    </row>
    <row r="88" spans="1:13" x14ac:dyDescent="0.25">
      <c r="A88" t="s">
        <v>388</v>
      </c>
      <c r="E88" s="62"/>
      <c r="F88" s="62"/>
      <c r="G88" s="64" t="s">
        <v>390</v>
      </c>
      <c r="H88"/>
      <c r="J88" s="67"/>
      <c r="M88"/>
    </row>
    <row r="89" spans="1:13" x14ac:dyDescent="0.25">
      <c r="E89" s="62"/>
      <c r="F89" s="62"/>
      <c r="G89"/>
      <c r="H89"/>
      <c r="J89" s="67"/>
      <c r="M89"/>
    </row>
    <row r="90" spans="1:13" s="587" customFormat="1" x14ac:dyDescent="0.25">
      <c r="B90" s="587" t="s">
        <v>389</v>
      </c>
      <c r="C90" s="64" t="s">
        <v>113</v>
      </c>
      <c r="D90" s="593" t="s">
        <v>202</v>
      </c>
      <c r="E90" s="588"/>
      <c r="F90" s="588"/>
      <c r="H90" s="587" t="s">
        <v>389</v>
      </c>
      <c r="I90" s="64" t="s">
        <v>113</v>
      </c>
      <c r="J90" s="593" t="s">
        <v>202</v>
      </c>
      <c r="K90" s="588"/>
    </row>
    <row r="91" spans="1:13" s="587" customFormat="1" x14ac:dyDescent="0.25">
      <c r="A91" s="599">
        <v>0</v>
      </c>
      <c r="B91" s="66">
        <f>K46</f>
        <v>139</v>
      </c>
      <c r="C91" s="65">
        <f>J46</f>
        <v>54.851999999999997</v>
      </c>
      <c r="D91" s="603">
        <f>+B91-C91</f>
        <v>84.147999999999996</v>
      </c>
      <c r="E91" s="588"/>
      <c r="F91" s="588"/>
      <c r="G91" s="599">
        <v>0</v>
      </c>
      <c r="H91" s="602">
        <f>K34</f>
        <v>85</v>
      </c>
      <c r="I91" s="600">
        <f>J34</f>
        <v>37.170666666666662</v>
      </c>
      <c r="J91" s="601">
        <f>+H91-I91</f>
        <v>47.829333333333338</v>
      </c>
      <c r="K91" s="588"/>
    </row>
    <row r="92" spans="1:13" s="64" customFormat="1" x14ac:dyDescent="0.25">
      <c r="A92" s="596">
        <v>0.1</v>
      </c>
      <c r="B92" s="66">
        <f>0.9*B91</f>
        <v>125.10000000000001</v>
      </c>
      <c r="C92" s="65">
        <f>C91</f>
        <v>54.851999999999997</v>
      </c>
      <c r="D92" s="603">
        <f t="shared" ref="D92:D95" si="4">+B92-C92</f>
        <v>70.248000000000019</v>
      </c>
      <c r="E92" s="225"/>
      <c r="F92" s="225"/>
      <c r="G92" s="596">
        <v>0.1</v>
      </c>
      <c r="H92" s="587">
        <f>0.9*H91</f>
        <v>76.5</v>
      </c>
      <c r="I92" s="600">
        <f>I91</f>
        <v>37.170666666666662</v>
      </c>
      <c r="J92" s="601">
        <f t="shared" ref="J92:J95" si="5">+H92-I92</f>
        <v>39.329333333333338</v>
      </c>
      <c r="K92" s="225"/>
    </row>
    <row r="93" spans="1:13" s="507" customFormat="1" x14ac:dyDescent="0.25">
      <c r="A93" s="597">
        <v>0.15</v>
      </c>
      <c r="B93" s="66">
        <f>+B91*0.85</f>
        <v>118.14999999999999</v>
      </c>
      <c r="C93" s="65">
        <f t="shared" ref="C93:C95" si="6">C92</f>
        <v>54.851999999999997</v>
      </c>
      <c r="D93" s="603">
        <f t="shared" si="4"/>
        <v>63.297999999999995</v>
      </c>
      <c r="E93" s="498"/>
      <c r="F93" s="498"/>
      <c r="G93" s="597">
        <v>0.15</v>
      </c>
      <c r="H93" s="587">
        <f>+H91*0.85</f>
        <v>72.25</v>
      </c>
      <c r="I93" s="600">
        <f t="shared" ref="I93:I95" si="7">I92</f>
        <v>37.170666666666662</v>
      </c>
      <c r="J93" s="601">
        <f t="shared" si="5"/>
        <v>35.079333333333338</v>
      </c>
      <c r="K93" s="498"/>
    </row>
    <row r="94" spans="1:13" x14ac:dyDescent="0.25">
      <c r="A94" s="598">
        <v>0.2</v>
      </c>
      <c r="B94" s="66">
        <f>0.8*B91</f>
        <v>111.2</v>
      </c>
      <c r="C94" s="65">
        <f t="shared" si="6"/>
        <v>54.851999999999997</v>
      </c>
      <c r="D94" s="604">
        <f t="shared" si="4"/>
        <v>56.348000000000006</v>
      </c>
      <c r="E94" s="62"/>
      <c r="F94" s="62"/>
      <c r="G94" s="598">
        <v>0.2</v>
      </c>
      <c r="H94" s="587">
        <f>0.8*H91</f>
        <v>68</v>
      </c>
      <c r="I94" s="600">
        <f t="shared" si="7"/>
        <v>37.170666666666662</v>
      </c>
      <c r="J94" s="601">
        <f t="shared" si="5"/>
        <v>30.829333333333338</v>
      </c>
      <c r="M94"/>
    </row>
    <row r="95" spans="1:13" x14ac:dyDescent="0.25">
      <c r="A95" s="598">
        <v>0.25</v>
      </c>
      <c r="B95" s="66">
        <f>0.75*B91</f>
        <v>104.25</v>
      </c>
      <c r="C95" s="65">
        <f t="shared" si="6"/>
        <v>54.851999999999997</v>
      </c>
      <c r="D95" s="604">
        <f t="shared" si="4"/>
        <v>49.398000000000003</v>
      </c>
      <c r="E95" s="62"/>
      <c r="F95" s="62"/>
      <c r="G95" s="598">
        <v>0.25</v>
      </c>
      <c r="H95" s="587">
        <f>0.755*H91</f>
        <v>64.174999999999997</v>
      </c>
      <c r="I95" s="600">
        <f t="shared" si="7"/>
        <v>37.170666666666662</v>
      </c>
      <c r="J95" s="601">
        <f t="shared" si="5"/>
        <v>27.004333333333335</v>
      </c>
      <c r="M95"/>
    </row>
  </sheetData>
  <mergeCells count="1">
    <mergeCell ref="C4:D4"/>
  </mergeCells>
  <dataValidations count="1">
    <dataValidation type="list" allowBlank="1" showInputMessage="1" showErrorMessage="1" sqref="B30:B33 B42:B45 B16:B19 B54:B57" xr:uid="{FA190FD7-52C3-4C47-8689-24941E370D33}">
      <formula1>#REF!</formula1>
    </dataValidation>
  </dataValidations>
  <pageMargins left="0.7" right="0.7" top="0.75" bottom="0.75" header="0.3" footer="0.3"/>
  <pageSetup scale="63" fitToHeight="1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6B377-9FA7-447A-817A-15B1F6945B3E}">
  <sheetPr codeName="Sheet27">
    <pageSetUpPr fitToPage="1"/>
  </sheetPr>
  <dimension ref="A1:S71"/>
  <sheetViews>
    <sheetView workbookViewId="0">
      <selection activeCell="B39" sqref="B39"/>
    </sheetView>
  </sheetViews>
  <sheetFormatPr defaultColWidth="12.125" defaultRowHeight="15.75" x14ac:dyDescent="0.25"/>
  <cols>
    <col min="1" max="1" width="10" customWidth="1"/>
    <col min="5" max="5" width="12.125" style="67"/>
    <col min="7" max="7" width="12.125" style="95"/>
    <col min="8" max="8" width="12.125" style="13"/>
    <col min="9" max="9" width="12.125" style="96"/>
    <col min="12" max="12" width="12.125" style="62"/>
  </cols>
  <sheetData>
    <row r="1" spans="1:19" ht="30.75" customHeight="1" x14ac:dyDescent="0.55000000000000004">
      <c r="A1" s="234" t="s">
        <v>12</v>
      </c>
      <c r="B1" s="236"/>
      <c r="C1" s="236"/>
      <c r="D1" s="236"/>
      <c r="I1" s="117"/>
      <c r="J1" s="287"/>
      <c r="K1" s="287"/>
      <c r="L1" s="117"/>
      <c r="M1" s="154" t="s">
        <v>203</v>
      </c>
    </row>
    <row r="2" spans="1:19" s="98" customFormat="1" x14ac:dyDescent="0.25">
      <c r="A2" s="87"/>
      <c r="B2" s="200">
        <v>75</v>
      </c>
      <c r="C2" s="87" t="s">
        <v>142</v>
      </c>
      <c r="D2" s="87"/>
      <c r="E2" s="117"/>
      <c r="F2" s="117"/>
      <c r="G2" s="117"/>
      <c r="H2" s="117"/>
      <c r="I2" s="117"/>
      <c r="J2" s="429"/>
      <c r="K2" s="430"/>
      <c r="L2" s="471"/>
      <c r="M2" s="155" t="s">
        <v>187</v>
      </c>
      <c r="P2" s="117"/>
      <c r="Q2" s="117"/>
      <c r="R2" s="117"/>
      <c r="S2" s="117"/>
    </row>
    <row r="3" spans="1:19" s="98" customFormat="1" x14ac:dyDescent="0.25">
      <c r="A3" s="87"/>
      <c r="B3" s="170">
        <v>3.3</v>
      </c>
      <c r="C3" s="170" t="s">
        <v>185</v>
      </c>
      <c r="D3" s="87"/>
      <c r="E3" s="117"/>
      <c r="F3" s="117"/>
      <c r="G3" s="117"/>
      <c r="H3" s="117"/>
      <c r="I3" s="117"/>
      <c r="J3" s="117"/>
      <c r="K3" s="117"/>
      <c r="L3" s="152"/>
      <c r="M3" s="155" t="s">
        <v>206</v>
      </c>
      <c r="P3" s="117"/>
      <c r="Q3" s="117"/>
      <c r="R3" s="117"/>
      <c r="S3" s="117"/>
    </row>
    <row r="4" spans="1:19" s="98" customFormat="1" ht="33" customHeight="1" x14ac:dyDescent="0.4">
      <c r="A4" s="87"/>
      <c r="B4" s="142">
        <v>15</v>
      </c>
      <c r="C4" s="656" t="s">
        <v>230</v>
      </c>
      <c r="D4" s="657"/>
      <c r="E4" s="270"/>
      <c r="F4" s="511" t="s">
        <v>349</v>
      </c>
      <c r="G4" s="512" t="s">
        <v>144</v>
      </c>
      <c r="H4" s="117"/>
      <c r="I4" s="117"/>
      <c r="J4" s="158"/>
      <c r="K4" s="117"/>
      <c r="L4" s="152"/>
      <c r="M4" s="117"/>
      <c r="O4" s="157"/>
      <c r="P4" s="117"/>
      <c r="Q4" s="117"/>
      <c r="R4" s="117"/>
      <c r="S4" s="117"/>
    </row>
    <row r="5" spans="1:19" s="98" customFormat="1" x14ac:dyDescent="0.25">
      <c r="A5" s="314"/>
      <c r="B5" s="87">
        <f>SUM(B2:B4)</f>
        <v>93.3</v>
      </c>
      <c r="C5" s="87"/>
      <c r="D5" s="87"/>
      <c r="E5" s="270"/>
      <c r="F5" s="117">
        <v>40</v>
      </c>
      <c r="G5" s="130">
        <f>+F5+B5</f>
        <v>133.30000000000001</v>
      </c>
      <c r="H5" s="117"/>
      <c r="I5" s="117"/>
      <c r="J5" s="158"/>
      <c r="K5" s="117"/>
      <c r="L5" s="152"/>
      <c r="M5" s="117"/>
      <c r="P5" s="117"/>
      <c r="Q5" s="117"/>
      <c r="R5" s="117"/>
      <c r="S5" s="117"/>
    </row>
    <row r="6" spans="1:19" s="98" customFormat="1" x14ac:dyDescent="0.25">
      <c r="A6" s="87"/>
      <c r="B6" s="87"/>
      <c r="C6" s="87"/>
      <c r="D6" s="87"/>
      <c r="E6" s="117"/>
      <c r="F6" s="117"/>
      <c r="G6" s="120"/>
      <c r="H6" s="471"/>
      <c r="I6" s="117"/>
      <c r="J6" s="80"/>
      <c r="L6" s="152"/>
      <c r="M6" s="153"/>
      <c r="N6" s="117"/>
      <c r="O6" s="117"/>
      <c r="P6" s="117"/>
      <c r="Q6" s="117"/>
      <c r="R6" s="117"/>
      <c r="S6" s="117"/>
    </row>
    <row r="7" spans="1:19" s="98" customFormat="1" x14ac:dyDescent="0.25">
      <c r="A7" s="225" t="s">
        <v>189</v>
      </c>
      <c r="B7" s="87">
        <f>+B5/300</f>
        <v>0.311</v>
      </c>
      <c r="C7" s="87"/>
      <c r="D7" s="87"/>
      <c r="E7" s="62"/>
      <c r="F7" s="62" t="s">
        <v>189</v>
      </c>
      <c r="G7" s="392">
        <f>+G5/300</f>
        <v>0.44433333333333336</v>
      </c>
      <c r="H7" s="117"/>
      <c r="I7" s="80"/>
      <c r="K7" s="152"/>
      <c r="L7" s="153"/>
      <c r="M7" s="117"/>
      <c r="N7" s="117"/>
      <c r="O7" s="117"/>
      <c r="P7" s="117"/>
      <c r="Q7" s="117"/>
      <c r="R7" s="117"/>
    </row>
    <row r="8" spans="1:19" s="117" customFormat="1" x14ac:dyDescent="0.25">
      <c r="A8" s="225"/>
      <c r="B8" s="128"/>
      <c r="C8" s="128"/>
      <c r="D8" s="128"/>
      <c r="E8" s="62"/>
      <c r="F8" s="390"/>
      <c r="G8" s="471"/>
      <c r="I8" s="158"/>
      <c r="K8" s="152"/>
      <c r="L8" s="153"/>
    </row>
    <row r="9" spans="1:19" s="161" customFormat="1" hidden="1" x14ac:dyDescent="0.25">
      <c r="A9" s="141"/>
      <c r="B9" s="160"/>
      <c r="D9" s="307"/>
      <c r="E9" s="238"/>
      <c r="F9" s="239"/>
      <c r="H9" s="164"/>
      <c r="J9" s="165"/>
      <c r="K9" s="166"/>
    </row>
    <row r="10" spans="1:19" s="161" customFormat="1" hidden="1" x14ac:dyDescent="0.25">
      <c r="A10" s="141"/>
      <c r="B10" s="160"/>
      <c r="D10" s="307"/>
      <c r="E10" s="238"/>
      <c r="F10" s="239"/>
      <c r="H10" s="164"/>
      <c r="J10" s="165"/>
      <c r="K10" s="166"/>
    </row>
    <row r="11" spans="1:19" s="241" customFormat="1" hidden="1" x14ac:dyDescent="0.25">
      <c r="A11" s="186"/>
      <c r="B11" s="240"/>
      <c r="D11" s="308"/>
      <c r="E11" s="242"/>
      <c r="F11" s="243"/>
      <c r="H11" s="173"/>
      <c r="J11" s="244"/>
      <c r="K11" s="245"/>
    </row>
    <row r="12" spans="1:19" s="98" customFormat="1" hidden="1" x14ac:dyDescent="0.25">
      <c r="A12" s="15"/>
      <c r="B12" s="87"/>
      <c r="C12" s="80"/>
      <c r="D12" s="115"/>
      <c r="E12" s="116"/>
      <c r="G12" s="117"/>
      <c r="H12" s="80"/>
      <c r="J12" s="152"/>
      <c r="K12" s="153"/>
      <c r="L12" s="117"/>
      <c r="M12" s="117"/>
      <c r="N12" s="117"/>
      <c r="O12" s="117"/>
      <c r="P12" s="117"/>
      <c r="Q12" s="117"/>
    </row>
    <row r="13" spans="1:19" s="98" customFormat="1" hidden="1" x14ac:dyDescent="0.25">
      <c r="A13" s="168" t="s">
        <v>218</v>
      </c>
      <c r="B13" s="87"/>
      <c r="C13" s="80"/>
      <c r="D13" s="115"/>
      <c r="E13" s="116"/>
      <c r="G13" s="117"/>
      <c r="H13" s="80"/>
      <c r="K13" s="280" t="s">
        <v>144</v>
      </c>
      <c r="L13" s="117"/>
      <c r="M13" s="117"/>
      <c r="N13" s="117"/>
      <c r="O13" s="117"/>
      <c r="P13" s="117"/>
      <c r="Q13" s="117"/>
    </row>
    <row r="14" spans="1:19" s="98" customFormat="1" hidden="1" x14ac:dyDescent="0.25">
      <c r="A14" s="15"/>
      <c r="B14" s="121"/>
      <c r="C14" s="80"/>
      <c r="D14" s="115"/>
      <c r="E14" s="116"/>
      <c r="G14" s="117"/>
      <c r="H14" s="261">
        <f>ROUNDUP(F20,0)</f>
        <v>285</v>
      </c>
      <c r="I14" s="262" t="s">
        <v>201</v>
      </c>
      <c r="J14" s="87">
        <f>+B7*F20</f>
        <v>88.635000000000005</v>
      </c>
      <c r="K14" s="264">
        <f>+F20*G7</f>
        <v>126.63500000000001</v>
      </c>
      <c r="L14" s="117"/>
      <c r="M14" s="117"/>
      <c r="N14" s="117"/>
      <c r="O14" s="117"/>
      <c r="P14" s="117"/>
      <c r="Q14" s="117"/>
    </row>
    <row r="15" spans="1:19" s="125" customFormat="1" ht="31.5" hidden="1" x14ac:dyDescent="0.25">
      <c r="A15" s="182"/>
      <c r="B15" s="183" t="s">
        <v>199</v>
      </c>
      <c r="C15" s="184" t="s">
        <v>196</v>
      </c>
      <c r="D15" s="183" t="s">
        <v>197</v>
      </c>
      <c r="E15" s="169" t="s">
        <v>198</v>
      </c>
      <c r="F15" s="185" t="s">
        <v>188</v>
      </c>
      <c r="G15" s="124"/>
      <c r="H15" s="265">
        <v>1</v>
      </c>
      <c r="I15" s="309" t="s">
        <v>177</v>
      </c>
      <c r="J15" s="310">
        <f>+H15*45</f>
        <v>45</v>
      </c>
      <c r="K15" s="311">
        <f>+H15*85</f>
        <v>85</v>
      </c>
      <c r="L15" s="124"/>
      <c r="M15" s="502"/>
      <c r="N15" s="502"/>
      <c r="O15" s="124"/>
      <c r="P15" s="124"/>
      <c r="Q15" s="124"/>
    </row>
    <row r="16" spans="1:19" s="81" customFormat="1" hidden="1" x14ac:dyDescent="0.25">
      <c r="A16" s="306" t="s">
        <v>219</v>
      </c>
      <c r="B16" s="251" t="s">
        <v>203</v>
      </c>
      <c r="C16" s="252">
        <v>500</v>
      </c>
      <c r="D16" s="251">
        <v>15</v>
      </c>
      <c r="E16" s="254">
        <f>IF(B16="Daily",7, IF(B16="Weekly",1, IF(B16="Every Other Day",4,"")))</f>
        <v>7</v>
      </c>
      <c r="F16" s="255">
        <f>+D16*E16</f>
        <v>105</v>
      </c>
      <c r="G16" s="83"/>
      <c r="H16" s="266">
        <f>IF(E20&gt;=25, E20+2, E20+1)</f>
        <v>20</v>
      </c>
      <c r="I16" s="305" t="s">
        <v>217</v>
      </c>
      <c r="J16" s="87"/>
      <c r="K16" s="263"/>
      <c r="L16" s="83"/>
      <c r="M16" s="503"/>
      <c r="N16" s="503"/>
      <c r="O16" s="83"/>
      <c r="P16" s="83"/>
      <c r="Q16" s="83"/>
    </row>
    <row r="17" spans="1:17" s="81" customFormat="1" hidden="1" x14ac:dyDescent="0.25">
      <c r="A17" s="306" t="s">
        <v>219</v>
      </c>
      <c r="B17" s="251" t="s">
        <v>187</v>
      </c>
      <c r="C17" s="252">
        <v>500</v>
      </c>
      <c r="D17" s="251">
        <v>15</v>
      </c>
      <c r="E17" s="256">
        <f>IF(B17="Daily",7, IF(B17="Weekly",1, IF(B17="Every Other Day",4,"")))</f>
        <v>4</v>
      </c>
      <c r="F17" s="255">
        <f t="shared" ref="F17:F19" si="0">+D17*E17</f>
        <v>60</v>
      </c>
      <c r="G17" s="83"/>
      <c r="H17" s="266">
        <f>ROUNDUP(F21,0)</f>
        <v>1</v>
      </c>
      <c r="I17" s="305" t="s">
        <v>190</v>
      </c>
      <c r="J17" s="87"/>
      <c r="K17" s="263"/>
      <c r="L17" s="83"/>
      <c r="M17" s="503"/>
      <c r="N17" s="503"/>
      <c r="O17" s="83"/>
      <c r="P17" s="83"/>
      <c r="Q17" s="83"/>
    </row>
    <row r="18" spans="1:17" s="81" customFormat="1" hidden="1" x14ac:dyDescent="0.25">
      <c r="A18" s="306" t="s">
        <v>219</v>
      </c>
      <c r="B18" s="251" t="s">
        <v>203</v>
      </c>
      <c r="C18" s="252">
        <v>500</v>
      </c>
      <c r="D18" s="251">
        <v>15</v>
      </c>
      <c r="E18" s="256">
        <f>IF(B18="Daily",7, IF(B18="Weekly",1, IF(B18="Every Other Day",4,"")))</f>
        <v>7</v>
      </c>
      <c r="F18" s="255">
        <f t="shared" si="0"/>
        <v>105</v>
      </c>
      <c r="G18" s="83"/>
      <c r="H18" s="266">
        <f>H16</f>
        <v>20</v>
      </c>
      <c r="I18" s="305" t="s">
        <v>200</v>
      </c>
      <c r="J18" s="87"/>
      <c r="K18" s="263"/>
      <c r="L18" s="83"/>
      <c r="M18" s="503"/>
      <c r="N18" s="503"/>
      <c r="O18" s="83"/>
      <c r="P18" s="83"/>
      <c r="Q18" s="83"/>
    </row>
    <row r="19" spans="1:17" s="81" customFormat="1" hidden="1" x14ac:dyDescent="0.25">
      <c r="A19" s="306" t="s">
        <v>219</v>
      </c>
      <c r="B19" s="257" t="s">
        <v>206</v>
      </c>
      <c r="C19" s="258">
        <v>500</v>
      </c>
      <c r="D19" s="257">
        <v>15</v>
      </c>
      <c r="E19" s="259">
        <f>IF(B19="Daily",7, IF(B19="Weekly",1, IF(B19="Every Other Day",4,"")))</f>
        <v>1</v>
      </c>
      <c r="F19" s="260">
        <f t="shared" si="0"/>
        <v>15</v>
      </c>
      <c r="G19" s="83"/>
      <c r="H19" s="252">
        <v>0</v>
      </c>
      <c r="I19" s="304" t="s">
        <v>192</v>
      </c>
      <c r="J19" s="142">
        <f>H19*3.65</f>
        <v>0</v>
      </c>
      <c r="K19" s="267"/>
      <c r="L19" s="83"/>
      <c r="M19" s="503"/>
      <c r="N19" s="503"/>
      <c r="O19" s="83"/>
      <c r="P19" s="83"/>
      <c r="Q19" s="83"/>
    </row>
    <row r="20" spans="1:17" s="81" customFormat="1" hidden="1" x14ac:dyDescent="0.25">
      <c r="A20" s="88"/>
      <c r="B20" s="79"/>
      <c r="C20" s="80"/>
      <c r="D20" s="82"/>
      <c r="E20" s="167">
        <f>SUM(E16:E19)</f>
        <v>19</v>
      </c>
      <c r="F20" s="279">
        <f>SUM(F16:F19)</f>
        <v>285</v>
      </c>
      <c r="G20" s="83"/>
      <c r="H20" s="80"/>
      <c r="J20" s="128">
        <f>SUM(J14:J19)</f>
        <v>133.63499999999999</v>
      </c>
      <c r="K20" s="269">
        <f>ROUNDUP(SUM(K14:K19),0)</f>
        <v>212</v>
      </c>
      <c r="L20" s="83"/>
      <c r="M20" s="427" t="s">
        <v>202</v>
      </c>
      <c r="N20" s="428">
        <f>+K20-J20</f>
        <v>78.365000000000009</v>
      </c>
      <c r="O20" s="83"/>
      <c r="P20" s="83"/>
      <c r="Q20" s="83"/>
    </row>
    <row r="21" spans="1:17" s="81" customFormat="1" hidden="1" x14ac:dyDescent="0.25">
      <c r="A21" s="88"/>
      <c r="B21" s="79"/>
      <c r="C21" s="80"/>
      <c r="D21" s="82"/>
      <c r="E21" s="89" t="s">
        <v>204</v>
      </c>
      <c r="F21" s="110">
        <f>+F20/300</f>
        <v>0.95</v>
      </c>
      <c r="G21" s="83"/>
      <c r="H21" s="80"/>
      <c r="I21" s="131" t="s">
        <v>189</v>
      </c>
      <c r="J21" s="113">
        <f>+J20/H14</f>
        <v>0.46889473684210525</v>
      </c>
      <c r="K21" s="112">
        <f>+K20/H14</f>
        <v>0.743859649122807</v>
      </c>
      <c r="L21" s="83"/>
      <c r="M21" s="427"/>
      <c r="N21" s="427"/>
      <c r="O21" s="83"/>
      <c r="P21" s="83"/>
      <c r="Q21" s="83"/>
    </row>
    <row r="22" spans="1:17" s="81" customFormat="1" hidden="1" x14ac:dyDescent="0.25">
      <c r="A22" s="88"/>
      <c r="B22" s="79"/>
      <c r="C22" s="80"/>
      <c r="D22" s="82"/>
      <c r="E22" s="109"/>
      <c r="G22" s="83"/>
      <c r="H22" s="80"/>
      <c r="L22" s="83"/>
      <c r="M22" s="503"/>
      <c r="N22" s="503"/>
      <c r="O22" s="83"/>
      <c r="P22" s="83"/>
      <c r="Q22" s="83"/>
    </row>
    <row r="23" spans="1:17" s="161" customFormat="1" x14ac:dyDescent="0.25">
      <c r="A23" s="141"/>
      <c r="B23" s="160"/>
      <c r="D23" s="307"/>
      <c r="E23" s="238"/>
      <c r="F23" s="239"/>
      <c r="H23" s="164"/>
      <c r="J23" s="165"/>
      <c r="K23" s="166"/>
      <c r="M23" s="501"/>
      <c r="N23" s="501"/>
    </row>
    <row r="24" spans="1:17" s="161" customFormat="1" x14ac:dyDescent="0.25">
      <c r="A24" s="159"/>
      <c r="B24" s="160"/>
      <c r="D24" s="162"/>
      <c r="E24" s="163"/>
      <c r="H24" s="164"/>
      <c r="J24" s="165"/>
      <c r="K24" s="166"/>
      <c r="M24" s="501"/>
      <c r="N24" s="501"/>
    </row>
    <row r="25" spans="1:17" s="98" customFormat="1" x14ac:dyDescent="0.25">
      <c r="A25" s="15"/>
      <c r="B25" s="87"/>
      <c r="C25" s="80"/>
      <c r="D25" s="115"/>
      <c r="E25" s="116"/>
      <c r="G25" s="117"/>
      <c r="H25" s="80"/>
      <c r="J25" s="152"/>
      <c r="K25" s="153"/>
      <c r="L25" s="117"/>
      <c r="M25" s="500"/>
      <c r="N25" s="500"/>
      <c r="O25" s="117"/>
      <c r="P25" s="117"/>
      <c r="Q25" s="117"/>
    </row>
    <row r="26" spans="1:17" s="98" customFormat="1" x14ac:dyDescent="0.25">
      <c r="A26" s="15"/>
      <c r="B26" s="87"/>
      <c r="C26" s="80"/>
      <c r="D26" s="115"/>
      <c r="E26" s="116"/>
      <c r="G26" s="117"/>
      <c r="H26" s="80"/>
      <c r="K26" s="114" t="s">
        <v>144</v>
      </c>
      <c r="L26" s="117"/>
      <c r="M26" s="500"/>
      <c r="N26" s="500"/>
      <c r="O26" s="117"/>
      <c r="P26" s="117"/>
      <c r="Q26" s="117"/>
    </row>
    <row r="27" spans="1:17" s="98" customFormat="1" x14ac:dyDescent="0.25">
      <c r="A27" s="15"/>
      <c r="B27" s="121"/>
      <c r="C27" s="80"/>
      <c r="D27" s="115"/>
      <c r="E27" s="116"/>
      <c r="G27" s="117"/>
      <c r="H27" s="118">
        <f>ROUNDUP(F33,0)</f>
        <v>3150</v>
      </c>
      <c r="I27" s="119" t="s">
        <v>201</v>
      </c>
      <c r="J27" s="87">
        <f>F33*B7</f>
        <v>979.65</v>
      </c>
      <c r="K27" s="120">
        <f>+F33*G7</f>
        <v>1399.65</v>
      </c>
      <c r="L27" s="117"/>
      <c r="M27" s="500"/>
      <c r="N27" s="500"/>
      <c r="O27" s="117"/>
      <c r="P27" s="117"/>
      <c r="Q27" s="117"/>
    </row>
    <row r="28" spans="1:17" s="125" customFormat="1" ht="31.5" x14ac:dyDescent="0.25">
      <c r="A28" s="653" t="s">
        <v>266</v>
      </c>
      <c r="B28" s="148" t="s">
        <v>199</v>
      </c>
      <c r="C28" s="149" t="s">
        <v>196</v>
      </c>
      <c r="D28" s="148" t="s">
        <v>197</v>
      </c>
      <c r="E28" s="122" t="s">
        <v>198</v>
      </c>
      <c r="F28" s="150" t="s">
        <v>188</v>
      </c>
      <c r="G28" s="124"/>
      <c r="H28" s="302">
        <v>0</v>
      </c>
      <c r="I28" s="62" t="s">
        <v>177</v>
      </c>
      <c r="J28" s="87">
        <f>+H28*45</f>
        <v>0</v>
      </c>
      <c r="K28" s="93">
        <f>H28*85</f>
        <v>0</v>
      </c>
      <c r="L28" s="124"/>
      <c r="M28" s="502"/>
      <c r="N28" s="502"/>
      <c r="O28" s="124"/>
      <c r="P28" s="124"/>
      <c r="Q28" s="124"/>
    </row>
    <row r="29" spans="1:17" s="81" customFormat="1" x14ac:dyDescent="0.25">
      <c r="A29" s="78" t="s">
        <v>108</v>
      </c>
      <c r="B29" s="199" t="s">
        <v>203</v>
      </c>
      <c r="C29" s="192">
        <v>5000</v>
      </c>
      <c r="D29" s="199">
        <v>150</v>
      </c>
      <c r="E29" s="145">
        <f>IF(B29="Daily",7, IF(B29="Weekly",1, IF(B29="Every Other Day",4,"")))</f>
        <v>7</v>
      </c>
      <c r="F29" s="146">
        <f>+D29*E29</f>
        <v>1050</v>
      </c>
      <c r="G29" s="83"/>
      <c r="H29" s="80">
        <f>IF(E33&gt;=25, E33+2, E33+1)</f>
        <v>30</v>
      </c>
      <c r="I29" s="62" t="s">
        <v>217</v>
      </c>
      <c r="J29" s="87"/>
      <c r="K29" s="93"/>
      <c r="L29" s="83"/>
      <c r="M29" s="503"/>
      <c r="N29" s="503"/>
      <c r="O29" s="83"/>
      <c r="P29" s="83"/>
      <c r="Q29" s="83"/>
    </row>
    <row r="30" spans="1:17" s="81" customFormat="1" x14ac:dyDescent="0.25">
      <c r="A30" s="78" t="s">
        <v>109</v>
      </c>
      <c r="B30" s="199" t="s">
        <v>203</v>
      </c>
      <c r="C30" s="192">
        <v>5000</v>
      </c>
      <c r="D30" s="199">
        <v>150</v>
      </c>
      <c r="E30" s="147">
        <f>IF(B30="Daily",7, IF(B30="Weekly",1, IF(B30="Every Other Day",4,"")))</f>
        <v>7</v>
      </c>
      <c r="F30" s="146">
        <f t="shared" ref="F30:F32" si="1">+D30*E30</f>
        <v>1050</v>
      </c>
      <c r="G30" s="83"/>
      <c r="H30" s="80">
        <f>ROUNDUP(F34,0)</f>
        <v>11</v>
      </c>
      <c r="I30" s="62" t="s">
        <v>190</v>
      </c>
      <c r="J30" s="87"/>
      <c r="K30" s="93"/>
      <c r="L30" s="83"/>
      <c r="M30" s="503"/>
      <c r="N30" s="503"/>
      <c r="O30" s="83"/>
      <c r="P30" s="83"/>
      <c r="Q30" s="83"/>
    </row>
    <row r="31" spans="1:17" s="81" customFormat="1" x14ac:dyDescent="0.25">
      <c r="A31" s="78" t="s">
        <v>110</v>
      </c>
      <c r="B31" s="199" t="s">
        <v>203</v>
      </c>
      <c r="C31" s="192">
        <v>5000</v>
      </c>
      <c r="D31" s="199">
        <v>150</v>
      </c>
      <c r="E31" s="147">
        <f>IF(B31="Daily",7, IF(B31="Weekly",1, IF(B31="Every Other Day",4,"")))</f>
        <v>7</v>
      </c>
      <c r="F31" s="146">
        <f t="shared" si="1"/>
        <v>1050</v>
      </c>
      <c r="G31" s="83"/>
      <c r="H31" s="80">
        <f>H29</f>
        <v>30</v>
      </c>
      <c r="I31" s="62" t="s">
        <v>200</v>
      </c>
      <c r="J31" s="87"/>
      <c r="K31" s="93"/>
      <c r="L31" s="83"/>
      <c r="M31" s="503"/>
      <c r="N31" s="503"/>
      <c r="O31" s="83"/>
      <c r="P31" s="83"/>
      <c r="Q31" s="83"/>
    </row>
    <row r="32" spans="1:17" s="81" customFormat="1" x14ac:dyDescent="0.25">
      <c r="A32" s="100" t="s">
        <v>141</v>
      </c>
      <c r="B32" s="101" t="s">
        <v>203</v>
      </c>
      <c r="C32" s="102">
        <v>0</v>
      </c>
      <c r="D32" s="101">
        <v>0</v>
      </c>
      <c r="E32" s="144">
        <f>IF(B32="Daily",7, IF(B32="Weekly",1, IF(B32="Every Other Day",4,"")))</f>
        <v>7</v>
      </c>
      <c r="F32" s="103">
        <f t="shared" si="1"/>
        <v>0</v>
      </c>
      <c r="G32" s="83"/>
      <c r="H32" s="303">
        <v>1</v>
      </c>
      <c r="I32" s="71" t="s">
        <v>192</v>
      </c>
      <c r="J32" s="142">
        <f>H32*3.65</f>
        <v>3.65</v>
      </c>
      <c r="K32" s="143"/>
      <c r="L32" s="83"/>
      <c r="M32" s="503"/>
      <c r="N32" s="503"/>
      <c r="O32" s="83"/>
      <c r="P32" s="83"/>
      <c r="Q32" s="83"/>
    </row>
    <row r="33" spans="1:18" s="81" customFormat="1" x14ac:dyDescent="0.25">
      <c r="A33" s="88"/>
      <c r="B33" s="79"/>
      <c r="C33" s="80"/>
      <c r="D33" s="82"/>
      <c r="E33" s="167">
        <f>SUM(E29:E32)</f>
        <v>28</v>
      </c>
      <c r="F33" s="127">
        <f>SUM(F29:F32)</f>
        <v>3150</v>
      </c>
      <c r="G33" s="83"/>
      <c r="H33" s="80"/>
      <c r="J33" s="128">
        <f>SUM(J27:J32)</f>
        <v>983.3</v>
      </c>
      <c r="K33" s="129">
        <f>ROUNDUP(SUM(K27:K32),0)</f>
        <v>1400</v>
      </c>
      <c r="L33" s="83"/>
      <c r="M33" s="427" t="s">
        <v>202</v>
      </c>
      <c r="N33" s="428">
        <f>+K33-J33</f>
        <v>416.70000000000005</v>
      </c>
      <c r="O33" s="83"/>
      <c r="P33" s="83"/>
      <c r="Q33" s="83"/>
    </row>
    <row r="34" spans="1:18" s="81" customFormat="1" x14ac:dyDescent="0.25">
      <c r="A34" s="88"/>
      <c r="B34" s="79"/>
      <c r="C34" s="80"/>
      <c r="D34" s="82"/>
      <c r="E34" s="89" t="s">
        <v>204</v>
      </c>
      <c r="F34" s="110">
        <f>+F33/300</f>
        <v>10.5</v>
      </c>
      <c r="G34" s="83"/>
      <c r="H34" s="80"/>
      <c r="I34" s="131" t="s">
        <v>189</v>
      </c>
      <c r="J34" s="113">
        <f>+J33/H27</f>
        <v>0.31215873015873014</v>
      </c>
      <c r="K34" s="112">
        <f>+K33/H27</f>
        <v>0.44444444444444442</v>
      </c>
      <c r="L34" s="83"/>
      <c r="M34" s="503"/>
      <c r="N34" s="503"/>
      <c r="O34" s="83"/>
      <c r="P34" s="83"/>
      <c r="Q34" s="83"/>
    </row>
    <row r="35" spans="1:18" s="81" customFormat="1" x14ac:dyDescent="0.25">
      <c r="A35" s="88"/>
      <c r="B35" s="79"/>
      <c r="C35" s="80"/>
      <c r="D35" s="82"/>
      <c r="E35" s="109"/>
      <c r="G35" s="83"/>
      <c r="H35" s="80"/>
      <c r="I35" s="131"/>
      <c r="J35" s="131"/>
      <c r="K35" s="131"/>
      <c r="L35" s="83"/>
      <c r="M35" s="503"/>
      <c r="N35" s="503"/>
      <c r="O35" s="83"/>
      <c r="P35" s="83"/>
      <c r="Q35" s="83"/>
    </row>
    <row r="36" spans="1:18" s="579" customFormat="1" x14ac:dyDescent="0.25">
      <c r="A36" s="576"/>
      <c r="B36" s="577"/>
      <c r="C36" s="578"/>
      <c r="E36" s="580"/>
      <c r="F36" s="581"/>
      <c r="I36" s="578"/>
      <c r="J36" s="582"/>
      <c r="K36" s="583"/>
      <c r="L36" s="584"/>
      <c r="N36" s="585"/>
      <c r="O36" s="585"/>
    </row>
    <row r="37" spans="1:18" s="83" customFormat="1" x14ac:dyDescent="0.25">
      <c r="A37" s="88"/>
      <c r="B37" s="90"/>
      <c r="C37" s="158"/>
      <c r="E37" s="189"/>
      <c r="F37" s="291"/>
      <c r="I37" s="158"/>
      <c r="J37" s="131"/>
      <c r="K37" s="111"/>
      <c r="L37" s="112"/>
      <c r="N37" s="503"/>
      <c r="O37" s="503"/>
    </row>
    <row r="38" spans="1:18" s="81" customFormat="1" x14ac:dyDescent="0.25">
      <c r="A38" s="88" t="s">
        <v>383</v>
      </c>
      <c r="B38" s="79"/>
      <c r="C38" s="80"/>
      <c r="E38" s="82"/>
      <c r="F38" s="109"/>
      <c r="H38" s="83"/>
      <c r="I38" s="80"/>
      <c r="J38" s="110"/>
      <c r="K38" s="111"/>
      <c r="L38" s="112"/>
      <c r="M38" s="83"/>
      <c r="N38" s="503"/>
      <c r="O38" s="503"/>
      <c r="P38" s="83"/>
      <c r="Q38" s="83"/>
      <c r="R38" s="83"/>
    </row>
    <row r="39" spans="1:18" s="81" customFormat="1" x14ac:dyDescent="0.25">
      <c r="A39" s="13"/>
      <c r="B39" s="79"/>
      <c r="C39" s="80"/>
      <c r="E39" s="82"/>
      <c r="F39" s="109"/>
      <c r="H39" s="83"/>
      <c r="I39" s="80"/>
      <c r="J39" s="110"/>
      <c r="K39" s="111"/>
      <c r="L39" s="112"/>
      <c r="M39" s="83"/>
      <c r="N39" s="503"/>
      <c r="O39" s="503"/>
      <c r="P39" s="83"/>
      <c r="Q39" s="83"/>
      <c r="R39" s="83"/>
    </row>
    <row r="40" spans="1:18" x14ac:dyDescent="0.25">
      <c r="N40" s="507"/>
      <c r="O40" s="507"/>
    </row>
    <row r="41" spans="1:18" s="379" customFormat="1" x14ac:dyDescent="0.25">
      <c r="E41" s="380"/>
      <c r="G41" s="381"/>
      <c r="H41" s="382"/>
      <c r="I41" s="383"/>
      <c r="L41" s="141"/>
      <c r="N41" s="141"/>
    </row>
    <row r="42" spans="1:18" s="379" customFormat="1" x14ac:dyDescent="0.25">
      <c r="D42" s="380"/>
      <c r="F42" s="141"/>
      <c r="G42" s="382"/>
      <c r="H42" s="383"/>
      <c r="K42" s="141"/>
      <c r="N42" s="506"/>
    </row>
    <row r="43" spans="1:18" s="379" customFormat="1" x14ac:dyDescent="0.25">
      <c r="D43" s="380"/>
      <c r="F43" s="141"/>
      <c r="G43" s="382"/>
      <c r="H43" s="383"/>
      <c r="K43" s="141"/>
      <c r="N43" s="506"/>
    </row>
    <row r="44" spans="1:18" s="379" customFormat="1" x14ac:dyDescent="0.25">
      <c r="D44" s="380"/>
      <c r="F44" s="141"/>
      <c r="G44" s="382"/>
      <c r="H44" s="383"/>
      <c r="K44" s="141"/>
      <c r="N44" s="506"/>
    </row>
    <row r="45" spans="1:18" x14ac:dyDescent="0.25">
      <c r="D45" s="67"/>
      <c r="E45"/>
      <c r="F45" s="62"/>
      <c r="G45" s="13"/>
      <c r="H45" s="96"/>
      <c r="I45"/>
      <c r="K45" s="62"/>
      <c r="L45"/>
      <c r="M45" s="62"/>
    </row>
    <row r="46" spans="1:18" x14ac:dyDescent="0.25">
      <c r="A46" t="s">
        <v>351</v>
      </c>
      <c r="D46" s="67"/>
      <c r="E46" s="62"/>
      <c r="F46" s="62"/>
      <c r="G46" s="13"/>
      <c r="H46" s="96"/>
      <c r="I46" s="62"/>
      <c r="J46" s="62"/>
      <c r="K46" s="62"/>
      <c r="L46"/>
    </row>
    <row r="47" spans="1:18" ht="17.25" customHeight="1" x14ac:dyDescent="0.25">
      <c r="D47" s="532" t="s">
        <v>375</v>
      </c>
      <c r="E47" s="62"/>
      <c r="F47" s="62"/>
      <c r="G47" s="13"/>
      <c r="H47" s="96"/>
      <c r="I47" s="62"/>
      <c r="J47" s="62"/>
      <c r="K47" s="62"/>
      <c r="L47"/>
    </row>
    <row r="48" spans="1:18" s="61" customFormat="1" x14ac:dyDescent="0.25">
      <c r="A48" s="61" t="s">
        <v>368</v>
      </c>
      <c r="D48" s="61" t="s">
        <v>369</v>
      </c>
      <c r="E48" s="453"/>
      <c r="F48" s="453"/>
      <c r="G48" s="458"/>
      <c r="H48" s="459"/>
      <c r="I48" s="453"/>
      <c r="J48" s="453"/>
      <c r="K48" s="453"/>
    </row>
    <row r="49" spans="1:12" x14ac:dyDescent="0.25">
      <c r="B49" s="61"/>
      <c r="D49" s="67"/>
      <c r="E49" s="62" t="s">
        <v>366</v>
      </c>
      <c r="F49" s="461">
        <f>F33</f>
        <v>3150</v>
      </c>
      <c r="G49" s="13"/>
      <c r="H49" s="96"/>
      <c r="I49" s="62"/>
      <c r="J49" s="62"/>
      <c r="K49" s="62"/>
      <c r="L49"/>
    </row>
    <row r="50" spans="1:12" x14ac:dyDescent="0.25">
      <c r="A50" s="368" t="s">
        <v>364</v>
      </c>
      <c r="B50" s="460">
        <f>N33</f>
        <v>416.70000000000005</v>
      </c>
      <c r="D50" s="67"/>
      <c r="E50" s="71" t="s">
        <v>360</v>
      </c>
      <c r="F50" s="71">
        <v>10</v>
      </c>
      <c r="G50" s="13"/>
      <c r="H50" s="96"/>
      <c r="I50" s="62"/>
      <c r="J50" s="62"/>
      <c r="K50" s="62"/>
      <c r="L50"/>
    </row>
    <row r="51" spans="1:12" x14ac:dyDescent="0.25">
      <c r="D51" s="67"/>
      <c r="E51" s="62"/>
      <c r="F51" s="62">
        <f>+F50*F49</f>
        <v>31500</v>
      </c>
      <c r="G51" s="13" t="s">
        <v>367</v>
      </c>
      <c r="H51" s="96"/>
      <c r="I51" s="62"/>
      <c r="J51" s="62"/>
      <c r="K51" s="62"/>
      <c r="L51"/>
    </row>
    <row r="52" spans="1:12" x14ac:dyDescent="0.25">
      <c r="D52" s="67"/>
      <c r="E52" s="453" t="s">
        <v>361</v>
      </c>
      <c r="F52" s="453">
        <f>ROUNDUP((F51/300),0)</f>
        <v>105</v>
      </c>
      <c r="G52" s="13"/>
      <c r="H52" s="96"/>
      <c r="I52" s="62"/>
      <c r="J52" s="62"/>
      <c r="K52" s="62"/>
      <c r="L52"/>
    </row>
    <row r="53" spans="1:12" x14ac:dyDescent="0.25">
      <c r="D53" s="67"/>
      <c r="E53" s="62" t="s">
        <v>362</v>
      </c>
      <c r="F53" s="454">
        <f>+F52*100</f>
        <v>10500</v>
      </c>
      <c r="G53" s="13"/>
      <c r="H53" s="96"/>
      <c r="I53" s="62"/>
      <c r="J53" s="62"/>
      <c r="K53" s="62"/>
      <c r="L53"/>
    </row>
    <row r="54" spans="1:12" x14ac:dyDescent="0.25">
      <c r="D54" s="67"/>
      <c r="E54" s="62"/>
      <c r="F54" s="62"/>
      <c r="G54" s="13"/>
      <c r="H54" s="96"/>
      <c r="I54" s="62"/>
      <c r="J54" s="62"/>
      <c r="K54" s="62"/>
      <c r="L54"/>
    </row>
    <row r="55" spans="1:12" x14ac:dyDescent="0.25">
      <c r="D55" s="455"/>
      <c r="E55" s="456" t="s">
        <v>363</v>
      </c>
      <c r="F55" s="457">
        <f>+F53/10</f>
        <v>1050</v>
      </c>
      <c r="G55" s="13"/>
      <c r="H55" s="96"/>
      <c r="I55" s="62"/>
      <c r="J55" s="62"/>
      <c r="K55" s="62"/>
      <c r="L55"/>
    </row>
    <row r="58" spans="1:12" s="379" customFormat="1" x14ac:dyDescent="0.25">
      <c r="D58" s="380"/>
      <c r="E58" s="141"/>
      <c r="F58" s="141"/>
      <c r="G58" s="382"/>
      <c r="H58" s="383"/>
      <c r="I58" s="141"/>
      <c r="J58" s="141"/>
      <c r="K58" s="141"/>
    </row>
    <row r="59" spans="1:12" s="379" customFormat="1" x14ac:dyDescent="0.25">
      <c r="D59" s="380"/>
      <c r="E59" s="141"/>
      <c r="F59" s="141"/>
      <c r="G59" s="382"/>
      <c r="H59" s="383"/>
      <c r="I59" s="141"/>
      <c r="J59" s="141"/>
      <c r="K59" s="141"/>
    </row>
    <row r="60" spans="1:12" s="379" customFormat="1" x14ac:dyDescent="0.25">
      <c r="D60" s="380"/>
      <c r="E60" s="141"/>
      <c r="F60" s="141"/>
      <c r="G60" s="382"/>
      <c r="H60" s="383"/>
      <c r="I60" s="141"/>
      <c r="J60" s="141"/>
      <c r="K60" s="141"/>
    </row>
    <row r="61" spans="1:12" x14ac:dyDescent="0.25">
      <c r="D61" s="67"/>
      <c r="E61" s="62"/>
      <c r="F61" s="62"/>
      <c r="G61" s="13"/>
      <c r="H61" s="96"/>
      <c r="I61" s="62"/>
      <c r="J61" s="62"/>
      <c r="K61" s="62"/>
      <c r="L61"/>
    </row>
    <row r="62" spans="1:12" x14ac:dyDescent="0.25">
      <c r="D62" s="67"/>
      <c r="E62" s="62"/>
      <c r="F62" s="62"/>
      <c r="G62" s="13"/>
      <c r="H62" s="96"/>
      <c r="I62" s="62"/>
      <c r="J62" s="62"/>
      <c r="K62" s="62"/>
      <c r="L62"/>
    </row>
    <row r="63" spans="1:12" x14ac:dyDescent="0.25">
      <c r="A63" t="s">
        <v>387</v>
      </c>
      <c r="D63" s="67"/>
      <c r="E63" s="62"/>
      <c r="F63" s="62"/>
      <c r="G63" t="s">
        <v>387</v>
      </c>
      <c r="H63"/>
      <c r="I63"/>
      <c r="J63" s="67"/>
      <c r="K63" s="62"/>
      <c r="L63"/>
    </row>
    <row r="64" spans="1:12" x14ac:dyDescent="0.25">
      <c r="A64" t="s">
        <v>388</v>
      </c>
      <c r="D64" s="67"/>
      <c r="E64" s="62"/>
      <c r="F64" s="62"/>
      <c r="G64" s="64" t="s">
        <v>390</v>
      </c>
      <c r="H64"/>
      <c r="I64"/>
      <c r="J64" s="67"/>
      <c r="K64" s="62"/>
      <c r="L64"/>
    </row>
    <row r="65" spans="1:17" x14ac:dyDescent="0.25">
      <c r="D65" s="67"/>
      <c r="E65" s="62"/>
      <c r="F65" s="62"/>
      <c r="G65"/>
      <c r="H65"/>
      <c r="I65"/>
      <c r="J65" s="67"/>
      <c r="K65" s="62"/>
      <c r="L65"/>
    </row>
    <row r="66" spans="1:17" x14ac:dyDescent="0.25">
      <c r="A66" s="587"/>
      <c r="B66" s="587" t="s">
        <v>389</v>
      </c>
      <c r="C66" s="64" t="s">
        <v>113</v>
      </c>
      <c r="D66" s="593" t="s">
        <v>202</v>
      </c>
      <c r="E66" s="588"/>
      <c r="F66" s="588"/>
      <c r="G66" s="587"/>
      <c r="H66" s="587" t="s">
        <v>389</v>
      </c>
      <c r="I66" s="64" t="s">
        <v>113</v>
      </c>
      <c r="J66" s="593" t="s">
        <v>202</v>
      </c>
      <c r="K66" s="588"/>
      <c r="L66" s="587"/>
      <c r="M66" s="587"/>
      <c r="N66" s="587"/>
      <c r="O66" s="587"/>
      <c r="P66" s="587"/>
      <c r="Q66" s="587"/>
    </row>
    <row r="67" spans="1:17" x14ac:dyDescent="0.25">
      <c r="A67" s="599">
        <v>0</v>
      </c>
      <c r="B67" s="66">
        <f>K33</f>
        <v>1400</v>
      </c>
      <c r="C67" s="65">
        <f>J33</f>
        <v>983.3</v>
      </c>
      <c r="D67" s="603">
        <f>+B67-C67</f>
        <v>416.70000000000005</v>
      </c>
      <c r="E67" s="588"/>
      <c r="F67" s="588"/>
      <c r="G67" s="599">
        <v>0</v>
      </c>
      <c r="H67" s="66">
        <f>K33</f>
        <v>1400</v>
      </c>
      <c r="I67" s="65">
        <f>J27</f>
        <v>979.65</v>
      </c>
      <c r="J67" s="603">
        <f>+H67-I67</f>
        <v>420.35</v>
      </c>
      <c r="K67" s="588"/>
      <c r="L67" s="587"/>
      <c r="M67" s="587"/>
      <c r="N67" s="587"/>
      <c r="O67" s="587"/>
      <c r="P67" s="587"/>
      <c r="Q67" s="587"/>
    </row>
    <row r="68" spans="1:17" x14ac:dyDescent="0.25">
      <c r="A68" s="596">
        <v>0.1</v>
      </c>
      <c r="B68" s="66">
        <f>0.9*B67</f>
        <v>1260</v>
      </c>
      <c r="C68" s="65">
        <f>C67</f>
        <v>983.3</v>
      </c>
      <c r="D68" s="603">
        <f t="shared" ref="D68:D71" si="2">+B68-C68</f>
        <v>276.70000000000005</v>
      </c>
      <c r="E68" s="225"/>
      <c r="F68" s="225"/>
      <c r="G68" s="596">
        <v>0.1</v>
      </c>
      <c r="H68" s="66">
        <f>0.9*H67</f>
        <v>1260</v>
      </c>
      <c r="I68" s="65">
        <f>I67</f>
        <v>979.65</v>
      </c>
      <c r="J68" s="603">
        <f t="shared" ref="J68:J71" si="3">+H68-I68</f>
        <v>280.35000000000002</v>
      </c>
      <c r="K68" s="225"/>
      <c r="L68" s="64"/>
      <c r="M68" s="64"/>
      <c r="N68" s="64"/>
      <c r="O68" s="64"/>
      <c r="P68" s="64"/>
      <c r="Q68" s="64"/>
    </row>
    <row r="69" spans="1:17" x14ac:dyDescent="0.25">
      <c r="A69" s="597">
        <v>0.15</v>
      </c>
      <c r="B69" s="66">
        <f>+B67*0.85</f>
        <v>1190</v>
      </c>
      <c r="C69" s="65">
        <f t="shared" ref="C69:C71" si="4">C68</f>
        <v>983.3</v>
      </c>
      <c r="D69" s="603">
        <f t="shared" si="2"/>
        <v>206.70000000000005</v>
      </c>
      <c r="E69" s="498"/>
      <c r="F69" s="498"/>
      <c r="G69" s="597">
        <v>0.15</v>
      </c>
      <c r="H69" s="66">
        <f>+H67*0.85</f>
        <v>1190</v>
      </c>
      <c r="I69" s="65">
        <f t="shared" ref="I69:I71" si="5">I68</f>
        <v>979.65</v>
      </c>
      <c r="J69" s="603">
        <f t="shared" si="3"/>
        <v>210.35000000000002</v>
      </c>
      <c r="K69" s="498"/>
      <c r="L69" s="507"/>
      <c r="M69" s="507"/>
      <c r="N69" s="507"/>
      <c r="O69" s="507"/>
      <c r="P69" s="507"/>
      <c r="Q69" s="507"/>
    </row>
    <row r="70" spans="1:17" x14ac:dyDescent="0.25">
      <c r="A70" s="598">
        <v>0.2</v>
      </c>
      <c r="B70" s="66">
        <f>0.8*B67</f>
        <v>1120</v>
      </c>
      <c r="C70" s="65">
        <f t="shared" si="4"/>
        <v>983.3</v>
      </c>
      <c r="D70" s="604">
        <f t="shared" si="2"/>
        <v>136.70000000000005</v>
      </c>
      <c r="E70" s="62"/>
      <c r="F70" s="62"/>
      <c r="G70" s="598">
        <v>0.2</v>
      </c>
      <c r="H70" s="66">
        <f>0.8*H67</f>
        <v>1120</v>
      </c>
      <c r="I70" s="65">
        <f t="shared" si="5"/>
        <v>979.65</v>
      </c>
      <c r="J70" s="604">
        <f t="shared" si="3"/>
        <v>140.35000000000002</v>
      </c>
      <c r="K70" s="62"/>
      <c r="L70"/>
    </row>
    <row r="71" spans="1:17" x14ac:dyDescent="0.25">
      <c r="A71" s="598">
        <v>0.25</v>
      </c>
      <c r="B71" s="66">
        <f>0.75*B67</f>
        <v>1050</v>
      </c>
      <c r="C71" s="65">
        <f t="shared" si="4"/>
        <v>983.3</v>
      </c>
      <c r="D71" s="604">
        <f t="shared" si="2"/>
        <v>66.700000000000045</v>
      </c>
      <c r="E71" s="62"/>
      <c r="F71" s="62"/>
      <c r="G71" s="598">
        <v>0.25</v>
      </c>
      <c r="H71" s="66">
        <f>0.755*H67</f>
        <v>1057</v>
      </c>
      <c r="I71" s="65">
        <f t="shared" si="5"/>
        <v>979.65</v>
      </c>
      <c r="J71" s="604">
        <f t="shared" si="3"/>
        <v>77.350000000000023</v>
      </c>
      <c r="K71" s="62"/>
      <c r="L71"/>
    </row>
  </sheetData>
  <mergeCells count="1">
    <mergeCell ref="C4:D4"/>
  </mergeCells>
  <dataValidations count="1">
    <dataValidation type="list" allowBlank="1" showInputMessage="1" showErrorMessage="1" sqref="B29:B32 B16:B19" xr:uid="{71D4A5B9-FE73-4896-852C-E2094BB74976}">
      <formula1>#REF!</formula1>
    </dataValidation>
  </dataValidations>
  <pageMargins left="0.7" right="0.7" top="0.75" bottom="0.75" header="0.3" footer="0.3"/>
  <pageSetup scale="52" fitToHeight="1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0B831-CB61-4E0B-985A-1537DE225627}">
  <sheetPr codeName="Sheet12">
    <pageSetUpPr fitToPage="1"/>
  </sheetPr>
  <dimension ref="A1:S95"/>
  <sheetViews>
    <sheetView topLeftCell="A21" zoomScaleNormal="100" workbookViewId="0">
      <selection activeCell="F33" sqref="F33"/>
    </sheetView>
  </sheetViews>
  <sheetFormatPr defaultColWidth="12.125" defaultRowHeight="15.75" x14ac:dyDescent="0.25"/>
  <cols>
    <col min="1" max="1" width="10" customWidth="1"/>
    <col min="5" max="5" width="12.125" style="67"/>
    <col min="7" max="7" width="12.125" style="95"/>
    <col min="8" max="8" width="12.125" style="13"/>
    <col min="9" max="9" width="12.125" style="96"/>
    <col min="12" max="12" width="12.125" style="62"/>
    <col min="14" max="14" width="12.125" style="62"/>
  </cols>
  <sheetData>
    <row r="1" spans="1:19" ht="30.75" customHeight="1" x14ac:dyDescent="0.55000000000000004">
      <c r="A1" s="234" t="s">
        <v>14</v>
      </c>
      <c r="B1" s="236"/>
      <c r="C1" s="236"/>
      <c r="D1" s="236"/>
      <c r="I1" s="117"/>
      <c r="J1" s="287"/>
      <c r="K1" s="287"/>
      <c r="L1" s="117"/>
      <c r="M1" s="117"/>
      <c r="O1" s="154" t="s">
        <v>203</v>
      </c>
    </row>
    <row r="2" spans="1:19" s="98" customFormat="1" x14ac:dyDescent="0.25">
      <c r="A2" s="87"/>
      <c r="B2" s="200">
        <f>'Pep Costs'!B21</f>
        <v>45</v>
      </c>
      <c r="C2" s="87" t="s">
        <v>142</v>
      </c>
      <c r="D2" s="87"/>
      <c r="E2" s="113"/>
      <c r="I2" s="117"/>
      <c r="J2" s="429"/>
      <c r="K2" s="430"/>
      <c r="L2" s="471"/>
      <c r="M2" s="117"/>
      <c r="N2" s="119"/>
      <c r="O2" s="155" t="s">
        <v>187</v>
      </c>
      <c r="P2" s="117"/>
      <c r="Q2" s="117"/>
      <c r="R2" s="117"/>
      <c r="S2" s="117"/>
    </row>
    <row r="3" spans="1:19" s="98" customFormat="1" x14ac:dyDescent="0.25">
      <c r="A3" s="87"/>
      <c r="B3" s="170">
        <v>3.3</v>
      </c>
      <c r="C3" s="170" t="s">
        <v>185</v>
      </c>
      <c r="D3" s="87"/>
      <c r="E3" s="113"/>
      <c r="I3" s="117"/>
      <c r="J3" s="117"/>
      <c r="K3" s="117"/>
      <c r="L3" s="152"/>
      <c r="M3" s="117"/>
      <c r="N3" s="119"/>
      <c r="O3" s="155" t="s">
        <v>206</v>
      </c>
      <c r="P3" s="117"/>
      <c r="Q3" s="117"/>
      <c r="R3" s="117"/>
      <c r="S3" s="117"/>
    </row>
    <row r="4" spans="1:19" s="98" customFormat="1" ht="35.25" customHeight="1" x14ac:dyDescent="0.4">
      <c r="A4" s="87"/>
      <c r="B4" s="142">
        <v>15</v>
      </c>
      <c r="C4" s="656" t="s">
        <v>230</v>
      </c>
      <c r="D4" s="657"/>
      <c r="E4" s="387"/>
      <c r="F4" s="511" t="s">
        <v>349</v>
      </c>
      <c r="G4" s="512" t="s">
        <v>144</v>
      </c>
      <c r="I4" s="117"/>
      <c r="J4" s="158"/>
      <c r="K4" s="117"/>
      <c r="L4" s="152"/>
      <c r="M4" s="117"/>
      <c r="N4" s="119"/>
      <c r="O4" s="157"/>
      <c r="P4" s="117"/>
      <c r="Q4" s="117"/>
      <c r="R4" s="117"/>
      <c r="S4" s="117"/>
    </row>
    <row r="5" spans="1:19" s="98" customFormat="1" x14ac:dyDescent="0.25">
      <c r="A5" s="314"/>
      <c r="B5" s="87">
        <f>SUM(B2:B4)</f>
        <v>63.3</v>
      </c>
      <c r="C5" s="87"/>
      <c r="D5" s="87"/>
      <c r="E5" s="387"/>
      <c r="F5" s="391">
        <v>100</v>
      </c>
      <c r="G5" s="207">
        <f>+F5+B5</f>
        <v>163.30000000000001</v>
      </c>
      <c r="I5" s="117"/>
      <c r="J5" s="80"/>
      <c r="L5" s="152"/>
      <c r="N5" s="119"/>
      <c r="P5" s="117"/>
      <c r="Q5" s="117"/>
      <c r="R5" s="117"/>
      <c r="S5" s="117"/>
    </row>
    <row r="6" spans="1:19" s="98" customFormat="1" x14ac:dyDescent="0.25">
      <c r="A6" s="87"/>
      <c r="B6" s="87"/>
      <c r="C6" s="87"/>
      <c r="D6" s="87"/>
      <c r="F6" s="121"/>
      <c r="G6" s="207"/>
      <c r="I6" s="117"/>
      <c r="J6" s="80"/>
      <c r="L6" s="152"/>
      <c r="M6" s="153"/>
      <c r="N6" s="289"/>
      <c r="O6" s="117"/>
      <c r="P6" s="117"/>
      <c r="Q6" s="117"/>
      <c r="R6" s="117"/>
      <c r="S6" s="117"/>
    </row>
    <row r="7" spans="1:19" s="98" customFormat="1" x14ac:dyDescent="0.25">
      <c r="A7" s="225" t="s">
        <v>189</v>
      </c>
      <c r="B7" s="87">
        <f>+B5/300</f>
        <v>0.21099999999999999</v>
      </c>
      <c r="C7" s="87"/>
      <c r="D7" s="87"/>
      <c r="E7" s="389"/>
      <c r="F7" s="394" t="s">
        <v>189</v>
      </c>
      <c r="G7" s="392">
        <f>+G5/300</f>
        <v>0.54433333333333334</v>
      </c>
      <c r="H7" s="117"/>
      <c r="I7" s="158"/>
      <c r="K7" s="152"/>
      <c r="L7" s="153"/>
      <c r="M7" s="117"/>
      <c r="N7" s="289"/>
      <c r="O7" s="117"/>
      <c r="P7" s="117"/>
      <c r="Q7" s="117"/>
      <c r="R7" s="117"/>
    </row>
    <row r="8" spans="1:19" s="117" customFormat="1" x14ac:dyDescent="0.25">
      <c r="A8" s="62"/>
      <c r="B8" s="128"/>
      <c r="E8" s="389"/>
      <c r="F8" s="388"/>
      <c r="G8" s="397"/>
      <c r="I8" s="158"/>
      <c r="K8" s="152"/>
      <c r="L8" s="153"/>
      <c r="N8" s="289"/>
    </row>
    <row r="9" spans="1:19" s="161" customFormat="1" x14ac:dyDescent="0.25">
      <c r="A9" s="159"/>
      <c r="B9" s="160"/>
      <c r="D9" s="162"/>
      <c r="E9" s="163"/>
      <c r="H9" s="164"/>
      <c r="J9" s="165"/>
      <c r="K9" s="166"/>
      <c r="M9" s="401"/>
    </row>
    <row r="10" spans="1:19" s="161" customFormat="1" x14ac:dyDescent="0.25">
      <c r="A10" s="159"/>
      <c r="B10" s="160"/>
      <c r="D10" s="162"/>
      <c r="E10" s="163"/>
      <c r="H10" s="164"/>
      <c r="J10" s="165"/>
      <c r="K10" s="166"/>
      <c r="M10" s="401"/>
    </row>
    <row r="11" spans="1:19" s="161" customFormat="1" x14ac:dyDescent="0.25">
      <c r="A11" s="159"/>
      <c r="B11" s="160"/>
      <c r="D11" s="162"/>
      <c r="E11" s="163"/>
      <c r="H11" s="164"/>
      <c r="J11" s="165"/>
      <c r="K11" s="166"/>
      <c r="M11" s="401"/>
    </row>
    <row r="12" spans="1:19" s="83" customFormat="1" x14ac:dyDescent="0.25">
      <c r="B12" s="90"/>
      <c r="C12" s="158"/>
      <c r="D12" s="189"/>
      <c r="E12" s="190"/>
      <c r="F12" s="191"/>
      <c r="G12" s="90"/>
      <c r="H12" s="84"/>
      <c r="I12" s="85"/>
      <c r="J12" s="86"/>
      <c r="K12" s="91"/>
      <c r="L12" s="85"/>
      <c r="M12" s="451"/>
    </row>
    <row r="13" spans="1:19" s="98" customFormat="1" x14ac:dyDescent="0.25">
      <c r="A13" s="168" t="s">
        <v>218</v>
      </c>
      <c r="B13" s="87"/>
      <c r="C13" s="80"/>
      <c r="D13" s="115"/>
      <c r="E13" s="116"/>
      <c r="G13" s="117"/>
      <c r="H13" s="80"/>
      <c r="K13" s="280" t="s">
        <v>144</v>
      </c>
      <c r="L13" s="117"/>
      <c r="M13" s="289"/>
      <c r="N13" s="117"/>
      <c r="O13" s="117"/>
      <c r="P13" s="117"/>
      <c r="Q13" s="117"/>
    </row>
    <row r="14" spans="1:19" s="98" customFormat="1" x14ac:dyDescent="0.25">
      <c r="A14" s="15"/>
      <c r="B14" s="121"/>
      <c r="C14" s="80"/>
      <c r="D14" s="115"/>
      <c r="E14" s="116"/>
      <c r="G14" s="117"/>
      <c r="H14" s="261">
        <f>ROUNDUP(F20,0)</f>
        <v>114</v>
      </c>
      <c r="I14" s="262" t="s">
        <v>201</v>
      </c>
      <c r="J14" s="87">
        <f>+B7*F20</f>
        <v>24.053999999999998</v>
      </c>
      <c r="K14" s="264">
        <f>+F20*G7</f>
        <v>62.054000000000002</v>
      </c>
      <c r="L14" s="117"/>
      <c r="M14" s="289"/>
      <c r="N14" s="117"/>
      <c r="O14" s="117"/>
      <c r="P14" s="117"/>
      <c r="Q14" s="117"/>
    </row>
    <row r="15" spans="1:19" s="125" customFormat="1" ht="31.5" x14ac:dyDescent="0.25">
      <c r="A15" s="182"/>
      <c r="B15" s="183" t="s">
        <v>199</v>
      </c>
      <c r="C15" s="184" t="s">
        <v>196</v>
      </c>
      <c r="D15" s="183" t="s">
        <v>197</v>
      </c>
      <c r="E15" s="169" t="s">
        <v>198</v>
      </c>
      <c r="F15" s="185" t="s">
        <v>188</v>
      </c>
      <c r="G15" s="124"/>
      <c r="H15" s="265">
        <v>0</v>
      </c>
      <c r="I15" s="309" t="s">
        <v>177</v>
      </c>
      <c r="J15" s="310">
        <f>+H15*45</f>
        <v>0</v>
      </c>
      <c r="K15" s="311">
        <f>+H15*85</f>
        <v>0</v>
      </c>
      <c r="L15" s="124"/>
      <c r="M15" s="432"/>
      <c r="N15" s="124"/>
      <c r="O15" s="124"/>
      <c r="P15" s="124"/>
      <c r="Q15" s="124"/>
    </row>
    <row r="16" spans="1:19" s="81" customFormat="1" x14ac:dyDescent="0.25">
      <c r="A16" s="306" t="s">
        <v>219</v>
      </c>
      <c r="B16" s="251" t="s">
        <v>187</v>
      </c>
      <c r="C16" s="252">
        <v>1000</v>
      </c>
      <c r="D16" s="251">
        <v>6</v>
      </c>
      <c r="E16" s="254">
        <f>IF(B16="Daily",7, IF(B16="Weekly",1, IF(B16="Every Other Day",4,"")))</f>
        <v>4</v>
      </c>
      <c r="F16" s="255">
        <f>+D16*E16</f>
        <v>24</v>
      </c>
      <c r="G16" s="83"/>
      <c r="H16" s="266">
        <f>IF(E20&gt;=25, E20+2, E20+1)</f>
        <v>20</v>
      </c>
      <c r="I16" s="305" t="s">
        <v>217</v>
      </c>
      <c r="J16" s="87"/>
      <c r="K16" s="263"/>
      <c r="L16" s="83"/>
      <c r="M16" s="492"/>
      <c r="N16" s="83"/>
      <c r="O16" s="83"/>
      <c r="P16" s="83"/>
      <c r="Q16" s="83"/>
    </row>
    <row r="17" spans="1:17" s="81" customFormat="1" x14ac:dyDescent="0.25">
      <c r="A17" s="306" t="s">
        <v>219</v>
      </c>
      <c r="B17" s="251" t="s">
        <v>203</v>
      </c>
      <c r="C17" s="252">
        <v>1000</v>
      </c>
      <c r="D17" s="251">
        <v>6</v>
      </c>
      <c r="E17" s="256">
        <f>IF(B17="Daily",7, IF(B17="Weekly",1, IF(B17="Every Other Day",4,"")))</f>
        <v>7</v>
      </c>
      <c r="F17" s="255">
        <f t="shared" ref="F17:F19" si="0">+D17*E17</f>
        <v>42</v>
      </c>
      <c r="G17" s="83"/>
      <c r="H17" s="266">
        <f>ROUNDUP(F21,0)</f>
        <v>1</v>
      </c>
      <c r="I17" s="305" t="s">
        <v>190</v>
      </c>
      <c r="J17" s="87"/>
      <c r="K17" s="263"/>
      <c r="L17" s="83"/>
      <c r="M17" s="492"/>
      <c r="N17" s="83"/>
      <c r="O17" s="83"/>
      <c r="P17" s="83"/>
      <c r="Q17" s="83"/>
    </row>
    <row r="18" spans="1:17" s="81" customFormat="1" x14ac:dyDescent="0.25">
      <c r="A18" s="306" t="s">
        <v>219</v>
      </c>
      <c r="B18" s="251" t="s">
        <v>206</v>
      </c>
      <c r="C18" s="252">
        <v>1000</v>
      </c>
      <c r="D18" s="251">
        <v>6</v>
      </c>
      <c r="E18" s="256">
        <f>IF(B18="Daily",7, IF(B18="Weekly",1, IF(B18="Every Other Day",4,"")))</f>
        <v>1</v>
      </c>
      <c r="F18" s="255">
        <f t="shared" si="0"/>
        <v>6</v>
      </c>
      <c r="G18" s="83"/>
      <c r="H18" s="266">
        <f>H16</f>
        <v>20</v>
      </c>
      <c r="I18" s="305" t="s">
        <v>200</v>
      </c>
      <c r="J18" s="87"/>
      <c r="K18" s="263"/>
      <c r="L18" s="83"/>
      <c r="M18" s="492"/>
      <c r="N18" s="83"/>
      <c r="O18" s="83"/>
      <c r="P18" s="83"/>
      <c r="Q18" s="83"/>
    </row>
    <row r="19" spans="1:17" s="81" customFormat="1" x14ac:dyDescent="0.25">
      <c r="A19" s="306" t="s">
        <v>219</v>
      </c>
      <c r="B19" s="257" t="s">
        <v>203</v>
      </c>
      <c r="C19" s="258">
        <v>1000</v>
      </c>
      <c r="D19" s="257">
        <v>6</v>
      </c>
      <c r="E19" s="259">
        <f>IF(B19="Daily",7, IF(B19="Weekly",1, IF(B19="Every Other Day",4,"")))</f>
        <v>7</v>
      </c>
      <c r="F19" s="260">
        <f t="shared" si="0"/>
        <v>42</v>
      </c>
      <c r="G19" s="83"/>
      <c r="H19" s="252">
        <v>0</v>
      </c>
      <c r="I19" s="304" t="s">
        <v>192</v>
      </c>
      <c r="J19" s="142">
        <f>H19*3.65</f>
        <v>0</v>
      </c>
      <c r="K19" s="267"/>
      <c r="L19" s="83"/>
      <c r="M19" s="492"/>
      <c r="N19" s="83"/>
      <c r="O19" s="83"/>
      <c r="P19" s="83"/>
      <c r="Q19" s="83"/>
    </row>
    <row r="20" spans="1:17" s="81" customFormat="1" x14ac:dyDescent="0.25">
      <c r="A20" s="88"/>
      <c r="B20" s="79"/>
      <c r="C20" s="80"/>
      <c r="D20" s="82"/>
      <c r="E20" s="167">
        <f>SUM(E16:E19)</f>
        <v>19</v>
      </c>
      <c r="F20" s="279">
        <f>SUM(F16:F19)</f>
        <v>114</v>
      </c>
      <c r="G20" s="83"/>
      <c r="H20" s="80"/>
      <c r="J20" s="128">
        <f>SUM(J14:J19)</f>
        <v>24.053999999999998</v>
      </c>
      <c r="K20" s="269">
        <f>ROUNDUP(SUM(K14:K19),0)</f>
        <v>63</v>
      </c>
      <c r="L20" s="83"/>
      <c r="M20" s="433" t="s">
        <v>202</v>
      </c>
      <c r="N20" s="428">
        <f>+K20-J20</f>
        <v>38.945999999999998</v>
      </c>
      <c r="O20" s="83"/>
      <c r="P20" s="83"/>
      <c r="Q20" s="83"/>
    </row>
    <row r="21" spans="1:17" s="81" customFormat="1" x14ac:dyDescent="0.25">
      <c r="A21" s="88"/>
      <c r="B21" s="79"/>
      <c r="C21" s="80"/>
      <c r="D21" s="82"/>
      <c r="E21" s="89" t="s">
        <v>204</v>
      </c>
      <c r="F21" s="110">
        <f>+F20/300</f>
        <v>0.38</v>
      </c>
      <c r="G21" s="83"/>
      <c r="H21" s="80"/>
      <c r="I21" s="131" t="s">
        <v>189</v>
      </c>
      <c r="J21" s="113">
        <f>+J20/H14</f>
        <v>0.21099999999999999</v>
      </c>
      <c r="K21" s="112">
        <f>+K20/H14</f>
        <v>0.55263157894736847</v>
      </c>
      <c r="L21" s="83"/>
      <c r="M21" s="492"/>
      <c r="N21" s="83"/>
      <c r="O21" s="83"/>
      <c r="P21" s="83"/>
      <c r="Q21" s="83"/>
    </row>
    <row r="22" spans="1:17" s="81" customFormat="1" x14ac:dyDescent="0.25">
      <c r="A22" s="88"/>
      <c r="B22" s="79"/>
      <c r="C22" s="80"/>
      <c r="D22" s="82"/>
      <c r="E22" s="109"/>
      <c r="G22" s="83"/>
      <c r="H22" s="80"/>
      <c r="J22" s="111"/>
      <c r="L22" s="83"/>
      <c r="M22" s="492"/>
      <c r="N22" s="83"/>
      <c r="O22" s="83"/>
      <c r="P22" s="83"/>
      <c r="Q22" s="83"/>
    </row>
    <row r="23" spans="1:17" s="241" customFormat="1" x14ac:dyDescent="0.25">
      <c r="A23" s="313"/>
      <c r="B23" s="240"/>
      <c r="D23" s="283"/>
      <c r="E23" s="284"/>
      <c r="H23" s="173"/>
      <c r="J23" s="244"/>
      <c r="K23" s="245"/>
      <c r="M23" s="491"/>
    </row>
    <row r="24" spans="1:17" s="161" customFormat="1" x14ac:dyDescent="0.25">
      <c r="A24" s="159"/>
      <c r="B24" s="160"/>
      <c r="D24" s="162"/>
      <c r="E24" s="163"/>
      <c r="H24" s="164"/>
      <c r="J24" s="165"/>
      <c r="K24" s="166"/>
      <c r="M24" s="401"/>
    </row>
    <row r="25" spans="1:17" s="161" customFormat="1" x14ac:dyDescent="0.25">
      <c r="A25" s="159"/>
      <c r="B25" s="160"/>
      <c r="D25" s="162"/>
      <c r="E25" s="163"/>
      <c r="H25" s="164"/>
      <c r="J25" s="165"/>
      <c r="K25" s="166"/>
      <c r="M25" s="401"/>
    </row>
    <row r="26" spans="1:17" s="117" customFormat="1" x14ac:dyDescent="0.25">
      <c r="A26" s="15"/>
      <c r="B26" s="128"/>
      <c r="C26" s="158"/>
      <c r="D26" s="270"/>
      <c r="E26" s="271"/>
      <c r="H26" s="158"/>
      <c r="J26" s="152"/>
      <c r="K26" s="153"/>
      <c r="M26" s="289"/>
    </row>
    <row r="27" spans="1:17" s="98" customFormat="1" x14ac:dyDescent="0.25">
      <c r="A27" s="15"/>
      <c r="B27" s="87"/>
      <c r="C27" s="80"/>
      <c r="D27" s="115"/>
      <c r="E27" s="116"/>
      <c r="G27" s="117"/>
      <c r="H27" s="80"/>
      <c r="K27" s="114" t="s">
        <v>144</v>
      </c>
      <c r="L27" s="117"/>
      <c r="M27" s="289"/>
      <c r="N27" s="117"/>
      <c r="O27" s="117"/>
      <c r="P27" s="117"/>
      <c r="Q27" s="117"/>
    </row>
    <row r="28" spans="1:17" s="98" customFormat="1" x14ac:dyDescent="0.25">
      <c r="A28" s="15"/>
      <c r="B28" s="121"/>
      <c r="C28" s="80"/>
      <c r="D28" s="115"/>
      <c r="E28" s="116"/>
      <c r="G28" s="117"/>
      <c r="H28" s="118">
        <f>ROUNDUP(F34,0)</f>
        <v>168</v>
      </c>
      <c r="I28" s="119" t="s">
        <v>201</v>
      </c>
      <c r="J28" s="87">
        <f>F34*B7</f>
        <v>35.448</v>
      </c>
      <c r="K28" s="120">
        <f>+F34*G7</f>
        <v>91.448000000000008</v>
      </c>
      <c r="L28" s="117"/>
      <c r="M28" s="289"/>
      <c r="N28" s="117"/>
      <c r="O28" s="117"/>
      <c r="P28" s="117"/>
      <c r="Q28" s="117"/>
    </row>
    <row r="29" spans="1:17" s="125" customFormat="1" ht="31.5" x14ac:dyDescent="0.25">
      <c r="A29" s="653" t="s">
        <v>266</v>
      </c>
      <c r="B29" s="148" t="s">
        <v>199</v>
      </c>
      <c r="C29" s="149" t="s">
        <v>196</v>
      </c>
      <c r="D29" s="148" t="s">
        <v>197</v>
      </c>
      <c r="E29" s="122" t="s">
        <v>198</v>
      </c>
      <c r="F29" s="150" t="s">
        <v>188</v>
      </c>
      <c r="G29" s="124"/>
      <c r="H29" s="302">
        <v>0</v>
      </c>
      <c r="I29" s="322" t="s">
        <v>177</v>
      </c>
      <c r="J29" s="310">
        <f>+H29*45</f>
        <v>0</v>
      </c>
      <c r="K29" s="370">
        <f>H29*85</f>
        <v>0</v>
      </c>
      <c r="L29" s="124"/>
      <c r="M29" s="432"/>
      <c r="N29" s="124"/>
      <c r="O29" s="124"/>
      <c r="P29" s="124"/>
      <c r="Q29" s="124"/>
    </row>
    <row r="30" spans="1:17" s="81" customFormat="1" x14ac:dyDescent="0.25">
      <c r="A30" s="78" t="s">
        <v>108</v>
      </c>
      <c r="B30" s="199" t="s">
        <v>203</v>
      </c>
      <c r="C30" s="192">
        <v>1000</v>
      </c>
      <c r="D30" s="199">
        <v>6</v>
      </c>
      <c r="E30" s="145">
        <f>IF(B30="Daily",7, IF(B30="Weekly",1, IF(B30="Every Other Day",4,"")))</f>
        <v>7</v>
      </c>
      <c r="F30" s="146">
        <f>+D30*E30</f>
        <v>42</v>
      </c>
      <c r="G30" s="83"/>
      <c r="H30" s="80">
        <f>IF(E34&gt;=25, E34+2, E34+1)</f>
        <v>30</v>
      </c>
      <c r="I30" s="62" t="s">
        <v>217</v>
      </c>
      <c r="J30" s="87"/>
      <c r="K30" s="93"/>
      <c r="L30" s="83"/>
      <c r="M30" s="492"/>
      <c r="N30" s="83"/>
      <c r="O30" s="83"/>
      <c r="P30" s="83"/>
      <c r="Q30" s="83"/>
    </row>
    <row r="31" spans="1:17" s="81" customFormat="1" x14ac:dyDescent="0.25">
      <c r="A31" s="78" t="s">
        <v>109</v>
      </c>
      <c r="B31" s="199" t="s">
        <v>203</v>
      </c>
      <c r="C31" s="192">
        <v>1000</v>
      </c>
      <c r="D31" s="199">
        <v>6</v>
      </c>
      <c r="E31" s="147">
        <f>IF(B31="Daily",7, IF(B31="Weekly",1, IF(B31="Every Other Day",4,"")))</f>
        <v>7</v>
      </c>
      <c r="F31" s="146">
        <f t="shared" ref="F31:F33" si="1">+D31*E31</f>
        <v>42</v>
      </c>
      <c r="G31" s="83"/>
      <c r="H31" s="80">
        <f>ROUNDUP(F35,0)</f>
        <v>1</v>
      </c>
      <c r="I31" s="62" t="s">
        <v>190</v>
      </c>
      <c r="J31" s="87"/>
      <c r="K31" s="93"/>
      <c r="L31" s="83"/>
      <c r="M31" s="492"/>
      <c r="N31" s="83"/>
      <c r="O31" s="83"/>
      <c r="P31" s="83"/>
      <c r="Q31" s="83"/>
    </row>
    <row r="32" spans="1:17" s="81" customFormat="1" x14ac:dyDescent="0.25">
      <c r="A32" s="78" t="s">
        <v>110</v>
      </c>
      <c r="B32" s="199" t="s">
        <v>203</v>
      </c>
      <c r="C32" s="192">
        <v>1000</v>
      </c>
      <c r="D32" s="199">
        <v>6</v>
      </c>
      <c r="E32" s="147">
        <f>IF(B32="Daily",7, IF(B32="Weekly",1, IF(B32="Every Other Day",4,"")))</f>
        <v>7</v>
      </c>
      <c r="F32" s="146">
        <f t="shared" si="1"/>
        <v>42</v>
      </c>
      <c r="G32" s="83"/>
      <c r="H32" s="80">
        <f>H30</f>
        <v>30</v>
      </c>
      <c r="I32" s="62" t="s">
        <v>200</v>
      </c>
      <c r="J32" s="87"/>
      <c r="K32" s="93"/>
      <c r="L32" s="83"/>
      <c r="M32" s="492"/>
      <c r="N32" s="83"/>
      <c r="O32" s="83"/>
      <c r="P32" s="83"/>
      <c r="Q32" s="83"/>
    </row>
    <row r="33" spans="1:17" s="81" customFormat="1" x14ac:dyDescent="0.25">
      <c r="A33" s="100" t="s">
        <v>141</v>
      </c>
      <c r="B33" s="101" t="s">
        <v>203</v>
      </c>
      <c r="C33" s="102">
        <v>1000</v>
      </c>
      <c r="D33" s="101">
        <v>6</v>
      </c>
      <c r="E33" s="144">
        <f>IF(B33="Daily",7, IF(B33="Weekly",1, IF(B33="Every Other Day",4,"")))</f>
        <v>7</v>
      </c>
      <c r="F33" s="103">
        <f t="shared" si="1"/>
        <v>42</v>
      </c>
      <c r="G33" s="83"/>
      <c r="H33" s="303">
        <v>1</v>
      </c>
      <c r="I33" s="71" t="s">
        <v>192</v>
      </c>
      <c r="J33" s="142">
        <f>H33*3.65</f>
        <v>3.65</v>
      </c>
      <c r="K33" s="143"/>
      <c r="L33" s="83"/>
      <c r="M33" s="522"/>
      <c r="N33" s="503"/>
      <c r="O33" s="83"/>
      <c r="P33" s="83"/>
      <c r="Q33" s="83"/>
    </row>
    <row r="34" spans="1:17" s="81" customFormat="1" x14ac:dyDescent="0.25">
      <c r="A34" s="88"/>
      <c r="B34" s="79"/>
      <c r="C34" s="80"/>
      <c r="D34" s="82"/>
      <c r="E34" s="167">
        <f>SUM(E30:E33)</f>
        <v>28</v>
      </c>
      <c r="F34" s="127">
        <f>SUM(F30:F33)</f>
        <v>168</v>
      </c>
      <c r="G34" s="83"/>
      <c r="H34" s="80"/>
      <c r="J34" s="128">
        <f>SUM(J28:J33)</f>
        <v>39.097999999999999</v>
      </c>
      <c r="K34" s="129">
        <f>ROUNDUP(SUM(K28:K33),0)</f>
        <v>92</v>
      </c>
      <c r="L34" s="83"/>
      <c r="M34" s="433" t="s">
        <v>202</v>
      </c>
      <c r="N34" s="428">
        <f>+K34-J34</f>
        <v>52.902000000000001</v>
      </c>
      <c r="O34" s="83"/>
      <c r="P34" s="83"/>
      <c r="Q34" s="83"/>
    </row>
    <row r="35" spans="1:17" s="81" customFormat="1" x14ac:dyDescent="0.25">
      <c r="A35" s="88"/>
      <c r="B35" s="79"/>
      <c r="C35" s="80"/>
      <c r="D35" s="82"/>
      <c r="E35" s="441" t="s">
        <v>204</v>
      </c>
      <c r="F35" s="484">
        <f>+F34/300</f>
        <v>0.56000000000000005</v>
      </c>
      <c r="G35" s="83"/>
      <c r="H35" s="80"/>
      <c r="I35" s="131" t="s">
        <v>189</v>
      </c>
      <c r="J35" s="113">
        <f>+J34/H28</f>
        <v>0.23272619047619048</v>
      </c>
      <c r="K35" s="112">
        <f>+K34/H28</f>
        <v>0.54761904761904767</v>
      </c>
      <c r="L35" s="83"/>
      <c r="M35" s="522"/>
      <c r="N35" s="503"/>
      <c r="O35" s="83"/>
      <c r="P35" s="83"/>
      <c r="Q35" s="83"/>
    </row>
    <row r="36" spans="1:17" s="81" customFormat="1" x14ac:dyDescent="0.25">
      <c r="A36" s="88"/>
      <c r="B36" s="79"/>
      <c r="C36" s="80"/>
      <c r="D36" s="82"/>
      <c r="E36" s="109"/>
      <c r="G36" s="83"/>
      <c r="H36" s="80"/>
      <c r="J36" s="111"/>
      <c r="L36" s="83"/>
      <c r="M36" s="522"/>
      <c r="N36" s="503"/>
      <c r="O36" s="83"/>
      <c r="P36" s="83"/>
      <c r="Q36" s="83"/>
    </row>
    <row r="37" spans="1:17" s="107" customFormat="1" x14ac:dyDescent="0.25">
      <c r="A37" s="104"/>
      <c r="B37" s="105"/>
      <c r="C37" s="106"/>
      <c r="D37" s="108"/>
      <c r="E37" s="151"/>
      <c r="H37" s="106"/>
      <c r="M37" s="529"/>
      <c r="N37" s="504"/>
    </row>
    <row r="38" spans="1:17" s="98" customFormat="1" x14ac:dyDescent="0.25">
      <c r="A38" s="15"/>
      <c r="B38" s="87"/>
      <c r="C38" s="80"/>
      <c r="D38" s="115"/>
      <c r="E38" s="116"/>
      <c r="G38" s="117"/>
      <c r="H38" s="80"/>
      <c r="J38" s="152"/>
      <c r="K38" s="153"/>
      <c r="L38" s="117"/>
      <c r="M38" s="428"/>
      <c r="N38" s="500"/>
      <c r="O38" s="117"/>
      <c r="P38" s="117"/>
      <c r="Q38" s="117"/>
    </row>
    <row r="39" spans="1:17" s="98" customFormat="1" x14ac:dyDescent="0.25">
      <c r="A39" s="15"/>
      <c r="B39" s="87"/>
      <c r="C39" s="80"/>
      <c r="D39" s="115"/>
      <c r="E39" s="116"/>
      <c r="G39" s="117"/>
      <c r="H39" s="80"/>
      <c r="K39" s="114" t="s">
        <v>144</v>
      </c>
      <c r="L39" s="117"/>
      <c r="M39" s="428"/>
      <c r="N39" s="500"/>
      <c r="O39" s="117"/>
      <c r="P39" s="117"/>
      <c r="Q39" s="117"/>
    </row>
    <row r="40" spans="1:17" s="98" customFormat="1" x14ac:dyDescent="0.25">
      <c r="A40" s="15"/>
      <c r="B40" s="121"/>
      <c r="C40" s="80"/>
      <c r="D40" s="115"/>
      <c r="E40" s="116"/>
      <c r="G40" s="117"/>
      <c r="H40" s="118">
        <f>ROUNDUP(F46,0)</f>
        <v>252</v>
      </c>
      <c r="I40" s="119" t="s">
        <v>201</v>
      </c>
      <c r="J40" s="87">
        <f>+B7*F46</f>
        <v>53.171999999999997</v>
      </c>
      <c r="K40" s="120">
        <f>+F46*G7</f>
        <v>137.172</v>
      </c>
      <c r="L40" s="117"/>
      <c r="M40" s="428"/>
      <c r="N40" s="500"/>
      <c r="O40" s="117"/>
      <c r="P40" s="117"/>
      <c r="Q40" s="117"/>
    </row>
    <row r="41" spans="1:17" s="125" customFormat="1" ht="31.5" x14ac:dyDescent="0.25">
      <c r="A41" s="653" t="s">
        <v>268</v>
      </c>
      <c r="B41" s="148" t="s">
        <v>199</v>
      </c>
      <c r="C41" s="149" t="s">
        <v>196</v>
      </c>
      <c r="D41" s="148" t="s">
        <v>197</v>
      </c>
      <c r="E41" s="122" t="s">
        <v>198</v>
      </c>
      <c r="F41" s="150" t="s">
        <v>188</v>
      </c>
      <c r="G41" s="124"/>
      <c r="H41" s="302">
        <v>0</v>
      </c>
      <c r="I41" s="62" t="s">
        <v>177</v>
      </c>
      <c r="J41" s="87">
        <f>+H41*45</f>
        <v>0</v>
      </c>
      <c r="K41" s="93">
        <f>+H41*85</f>
        <v>0</v>
      </c>
      <c r="L41" s="124"/>
      <c r="M41" s="526"/>
      <c r="N41" s="502"/>
      <c r="O41" s="124"/>
      <c r="P41" s="124"/>
      <c r="Q41" s="124"/>
    </row>
    <row r="42" spans="1:17" s="81" customFormat="1" x14ac:dyDescent="0.25">
      <c r="A42" s="78" t="s">
        <v>207</v>
      </c>
      <c r="B42" s="199" t="s">
        <v>203</v>
      </c>
      <c r="C42" s="192">
        <v>1500</v>
      </c>
      <c r="D42" s="199">
        <v>9</v>
      </c>
      <c r="E42" s="145">
        <f>IF(B42="Daily",7, IF(B42="Weekly",1, IF(B42="Every Other Day",4,"")))</f>
        <v>7</v>
      </c>
      <c r="F42" s="146">
        <f>+D42*E42</f>
        <v>63</v>
      </c>
      <c r="G42" s="83"/>
      <c r="H42" s="80">
        <f>IF(E46&gt;=25, E46+2, E46+1)</f>
        <v>30</v>
      </c>
      <c r="I42" s="62" t="s">
        <v>217</v>
      </c>
      <c r="J42" s="87"/>
      <c r="K42" s="93"/>
      <c r="L42" s="83"/>
      <c r="M42" s="522"/>
      <c r="N42" s="503"/>
      <c r="O42" s="83"/>
      <c r="P42" s="83"/>
      <c r="Q42" s="83"/>
    </row>
    <row r="43" spans="1:17" s="81" customFormat="1" x14ac:dyDescent="0.25">
      <c r="A43" s="78" t="s">
        <v>208</v>
      </c>
      <c r="B43" s="199" t="s">
        <v>203</v>
      </c>
      <c r="C43" s="192">
        <v>1500</v>
      </c>
      <c r="D43" s="199">
        <v>9</v>
      </c>
      <c r="E43" s="147">
        <f>IF(B43="Daily",7, IF(B43="Weekly",1, IF(B43="Every Other Day",4,"")))</f>
        <v>7</v>
      </c>
      <c r="F43" s="146">
        <f t="shared" ref="F43:F45" si="2">+D43*E43</f>
        <v>63</v>
      </c>
      <c r="G43" s="83">
        <f>+F34+F42+F43</f>
        <v>294</v>
      </c>
      <c r="H43" s="80">
        <f>ROUNDUP(F47,0)</f>
        <v>1</v>
      </c>
      <c r="I43" s="62" t="s">
        <v>190</v>
      </c>
      <c r="J43" s="87"/>
      <c r="K43" s="93"/>
      <c r="L43" s="83"/>
      <c r="M43" s="522"/>
      <c r="N43" s="503"/>
      <c r="O43" s="83"/>
      <c r="P43" s="83"/>
      <c r="Q43" s="83"/>
    </row>
    <row r="44" spans="1:17" s="81" customFormat="1" x14ac:dyDescent="0.25">
      <c r="A44" s="78" t="s">
        <v>209</v>
      </c>
      <c r="B44" s="199" t="s">
        <v>203</v>
      </c>
      <c r="C44" s="192">
        <v>1500</v>
      </c>
      <c r="D44" s="199">
        <v>9</v>
      </c>
      <c r="E44" s="147">
        <f>IF(B44="Daily",7, IF(B44="Weekly",1, IF(B44="Every Other Day",4,"")))</f>
        <v>7</v>
      </c>
      <c r="F44" s="146">
        <f t="shared" si="2"/>
        <v>63</v>
      </c>
      <c r="G44" s="83"/>
      <c r="H44" s="80">
        <f>H42</f>
        <v>30</v>
      </c>
      <c r="I44" s="62" t="s">
        <v>200</v>
      </c>
      <c r="J44" s="87"/>
      <c r="K44" s="93"/>
      <c r="L44" s="83"/>
      <c r="M44" s="522"/>
      <c r="N44" s="503"/>
      <c r="O44" s="83"/>
      <c r="P44" s="83"/>
      <c r="Q44" s="83"/>
    </row>
    <row r="45" spans="1:17" s="81" customFormat="1" x14ac:dyDescent="0.25">
      <c r="A45" s="100" t="s">
        <v>210</v>
      </c>
      <c r="B45" s="101" t="s">
        <v>203</v>
      </c>
      <c r="C45" s="102">
        <v>1500</v>
      </c>
      <c r="D45" s="101">
        <v>9</v>
      </c>
      <c r="E45" s="144">
        <f>IF(B45="Daily",7, IF(B45="Weekly",1, IF(B45="Every Other Day",4,"")))</f>
        <v>7</v>
      </c>
      <c r="F45" s="103">
        <f t="shared" si="2"/>
        <v>63</v>
      </c>
      <c r="G45" s="83"/>
      <c r="H45" s="303">
        <v>0</v>
      </c>
      <c r="I45" s="71" t="s">
        <v>192</v>
      </c>
      <c r="J45" s="142">
        <f>H45*3.65</f>
        <v>0</v>
      </c>
      <c r="K45" s="143"/>
      <c r="L45" s="83"/>
      <c r="M45" s="522"/>
      <c r="N45" s="503"/>
      <c r="O45" s="83"/>
      <c r="P45" s="83"/>
      <c r="Q45" s="83"/>
    </row>
    <row r="46" spans="1:17" s="81" customFormat="1" x14ac:dyDescent="0.25">
      <c r="A46" s="88"/>
      <c r="B46" s="79"/>
      <c r="C46" s="80"/>
      <c r="D46" s="82"/>
      <c r="E46" s="167">
        <f>SUM(E42:E45)</f>
        <v>28</v>
      </c>
      <c r="F46" s="127">
        <f>SUM(F42:F45)</f>
        <v>252</v>
      </c>
      <c r="G46" s="83"/>
      <c r="H46" s="80"/>
      <c r="J46" s="128">
        <f>SUM(J40:J45)</f>
        <v>53.171999999999997</v>
      </c>
      <c r="K46" s="129">
        <f>ROUNDUP(SUM(K40:K45),0)</f>
        <v>138</v>
      </c>
      <c r="L46" s="83"/>
      <c r="M46" s="433" t="s">
        <v>202</v>
      </c>
      <c r="N46" s="428">
        <f>+K46-J46</f>
        <v>84.828000000000003</v>
      </c>
      <c r="O46" s="83"/>
      <c r="P46" s="83"/>
      <c r="Q46" s="83"/>
    </row>
    <row r="47" spans="1:17" s="81" customFormat="1" x14ac:dyDescent="0.25">
      <c r="A47" s="88"/>
      <c r="B47" s="79"/>
      <c r="C47" s="80"/>
      <c r="D47" s="82"/>
      <c r="E47" s="441" t="s">
        <v>204</v>
      </c>
      <c r="F47" s="484">
        <f>+F46/300</f>
        <v>0.84</v>
      </c>
      <c r="G47" s="83"/>
      <c r="H47" s="80"/>
      <c r="I47" s="131" t="s">
        <v>189</v>
      </c>
      <c r="J47" s="113">
        <f>+J46/H40</f>
        <v>0.21099999999999999</v>
      </c>
      <c r="K47" s="112">
        <f>+K46/H40</f>
        <v>0.54761904761904767</v>
      </c>
      <c r="L47" s="83"/>
      <c r="M47" s="522"/>
      <c r="N47" s="503"/>
      <c r="O47" s="83"/>
      <c r="P47" s="83"/>
      <c r="Q47" s="83"/>
    </row>
    <row r="48" spans="1:17" s="81" customFormat="1" x14ac:dyDescent="0.25">
      <c r="A48" s="88"/>
      <c r="B48" s="79"/>
      <c r="C48" s="80"/>
      <c r="D48" s="82"/>
      <c r="E48" s="537"/>
      <c r="F48" s="484"/>
      <c r="G48" s="83"/>
      <c r="H48" s="80"/>
      <c r="L48" s="83"/>
      <c r="M48" s="522"/>
      <c r="N48" s="503"/>
      <c r="O48" s="83"/>
      <c r="P48" s="83"/>
      <c r="Q48" s="83"/>
    </row>
    <row r="49" spans="1:18" s="107" customFormat="1" x14ac:dyDescent="0.25">
      <c r="A49" s="104"/>
      <c r="B49" s="105"/>
      <c r="C49" s="106"/>
      <c r="D49" s="108"/>
      <c r="E49" s="151"/>
      <c r="H49" s="106"/>
      <c r="M49" s="529"/>
      <c r="N49" s="504"/>
    </row>
    <row r="50" spans="1:18" s="98" customFormat="1" x14ac:dyDescent="0.25">
      <c r="A50" s="15"/>
      <c r="B50" s="87"/>
      <c r="C50" s="80"/>
      <c r="D50" s="115"/>
      <c r="E50" s="116"/>
      <c r="G50" s="117"/>
      <c r="H50" s="80"/>
      <c r="J50" s="152"/>
      <c r="K50" s="153"/>
      <c r="L50" s="117"/>
      <c r="M50" s="428"/>
      <c r="N50" s="500"/>
      <c r="O50" s="117"/>
      <c r="P50" s="117"/>
      <c r="Q50" s="117"/>
    </row>
    <row r="51" spans="1:18" s="98" customFormat="1" x14ac:dyDescent="0.25">
      <c r="A51" s="15"/>
      <c r="B51" s="87"/>
      <c r="C51" s="80"/>
      <c r="D51" s="115"/>
      <c r="E51" s="116"/>
      <c r="G51" s="117"/>
      <c r="H51" s="80"/>
      <c r="K51" s="114" t="s">
        <v>144</v>
      </c>
      <c r="L51" s="117"/>
      <c r="M51" s="428"/>
      <c r="N51" s="500"/>
      <c r="O51" s="117"/>
      <c r="P51" s="117"/>
      <c r="Q51" s="117"/>
    </row>
    <row r="52" spans="1:18" s="98" customFormat="1" x14ac:dyDescent="0.25">
      <c r="A52" s="15"/>
      <c r="B52" s="121"/>
      <c r="C52" s="80"/>
      <c r="D52" s="115"/>
      <c r="E52" s="116"/>
      <c r="G52" s="117"/>
      <c r="H52" s="118">
        <f>ROUNDUP(F58,0)</f>
        <v>336</v>
      </c>
      <c r="I52" s="119" t="s">
        <v>201</v>
      </c>
      <c r="J52" s="87">
        <f>+B7*F58</f>
        <v>70.896000000000001</v>
      </c>
      <c r="K52" s="120">
        <f>+F58*G7</f>
        <v>182.89600000000002</v>
      </c>
      <c r="L52" s="117"/>
      <c r="M52" s="428"/>
      <c r="N52" s="500"/>
      <c r="O52" s="117"/>
      <c r="P52" s="117"/>
      <c r="Q52" s="117"/>
    </row>
    <row r="53" spans="1:18" s="125" customFormat="1" ht="31.5" x14ac:dyDescent="0.25">
      <c r="A53" s="653" t="s">
        <v>269</v>
      </c>
      <c r="B53" s="148" t="s">
        <v>199</v>
      </c>
      <c r="C53" s="149" t="s">
        <v>196</v>
      </c>
      <c r="D53" s="148" t="s">
        <v>197</v>
      </c>
      <c r="E53" s="122" t="s">
        <v>198</v>
      </c>
      <c r="F53" s="150" t="s">
        <v>188</v>
      </c>
      <c r="G53" s="124"/>
      <c r="H53" s="302">
        <v>0</v>
      </c>
      <c r="I53" s="62" t="s">
        <v>177</v>
      </c>
      <c r="J53" s="87">
        <f>+H53*45</f>
        <v>0</v>
      </c>
      <c r="K53" s="93">
        <f>+H53*85</f>
        <v>0</v>
      </c>
      <c r="L53" s="124"/>
      <c r="M53" s="526"/>
      <c r="N53" s="502"/>
      <c r="O53" s="124"/>
      <c r="P53" s="124"/>
      <c r="Q53" s="124"/>
    </row>
    <row r="54" spans="1:18" s="81" customFormat="1" x14ac:dyDescent="0.25">
      <c r="A54" s="78" t="s">
        <v>211</v>
      </c>
      <c r="B54" s="199" t="s">
        <v>203</v>
      </c>
      <c r="C54" s="192">
        <v>2000</v>
      </c>
      <c r="D54" s="199">
        <v>12</v>
      </c>
      <c r="E54" s="145">
        <f>IF(B54="Daily",7, IF(B54="Weekly",1, IF(B54="Every Other Day",4,"")))</f>
        <v>7</v>
      </c>
      <c r="F54" s="146">
        <f>+D54*E54</f>
        <v>84</v>
      </c>
      <c r="G54" s="83"/>
      <c r="H54" s="80">
        <f>IF(E58&gt;=25, E58+2, E58+1)</f>
        <v>30</v>
      </c>
      <c r="I54" s="62" t="s">
        <v>217</v>
      </c>
      <c r="J54" s="87"/>
      <c r="K54" s="93"/>
      <c r="L54" s="83"/>
      <c r="M54" s="522"/>
      <c r="N54" s="503"/>
      <c r="O54" s="83"/>
      <c r="P54" s="83"/>
      <c r="Q54" s="83"/>
    </row>
    <row r="55" spans="1:18" s="81" customFormat="1" x14ac:dyDescent="0.25">
      <c r="A55" s="78" t="s">
        <v>212</v>
      </c>
      <c r="B55" s="199" t="s">
        <v>203</v>
      </c>
      <c r="C55" s="192">
        <v>2000</v>
      </c>
      <c r="D55" s="199">
        <v>12</v>
      </c>
      <c r="E55" s="147">
        <f>IF(B55="Daily",7, IF(B55="Weekly",1, IF(B55="Every Other Day",4,"")))</f>
        <v>7</v>
      </c>
      <c r="F55" s="146">
        <f t="shared" ref="F55:F57" si="3">+D55*E55</f>
        <v>84</v>
      </c>
      <c r="G55" s="83"/>
      <c r="H55" s="80">
        <f>ROUNDUP(F59,0)</f>
        <v>2</v>
      </c>
      <c r="I55" s="62" t="s">
        <v>190</v>
      </c>
      <c r="J55" s="87"/>
      <c r="K55" s="93"/>
      <c r="L55" s="83"/>
      <c r="M55" s="522"/>
      <c r="N55" s="503"/>
      <c r="O55" s="83"/>
      <c r="P55" s="83"/>
      <c r="Q55" s="83"/>
    </row>
    <row r="56" spans="1:18" s="81" customFormat="1" x14ac:dyDescent="0.25">
      <c r="A56" s="78" t="s">
        <v>213</v>
      </c>
      <c r="B56" s="199" t="s">
        <v>203</v>
      </c>
      <c r="C56" s="192">
        <v>2000</v>
      </c>
      <c r="D56" s="199">
        <v>12</v>
      </c>
      <c r="E56" s="147">
        <f>IF(B56="Daily",7, IF(B56="Weekly",1, IF(B56="Every Other Day",4,"")))</f>
        <v>7</v>
      </c>
      <c r="F56" s="146">
        <f t="shared" si="3"/>
        <v>84</v>
      </c>
      <c r="G56" s="83"/>
      <c r="H56" s="80">
        <f>H54</f>
        <v>30</v>
      </c>
      <c r="I56" s="62" t="s">
        <v>200</v>
      </c>
      <c r="J56" s="87"/>
      <c r="K56" s="93"/>
      <c r="L56" s="83"/>
      <c r="M56" s="522"/>
      <c r="N56" s="503"/>
      <c r="O56" s="83"/>
      <c r="P56" s="83"/>
      <c r="Q56" s="83"/>
    </row>
    <row r="57" spans="1:18" s="81" customFormat="1" x14ac:dyDescent="0.25">
      <c r="A57" s="100" t="s">
        <v>214</v>
      </c>
      <c r="B57" s="101" t="s">
        <v>203</v>
      </c>
      <c r="C57" s="102">
        <v>2000</v>
      </c>
      <c r="D57" s="101">
        <v>12</v>
      </c>
      <c r="E57" s="144">
        <f>IF(B57="Daily",7, IF(B57="Weekly",1, IF(B57="Every Other Day",4,"")))</f>
        <v>7</v>
      </c>
      <c r="F57" s="103">
        <f t="shared" si="3"/>
        <v>84</v>
      </c>
      <c r="G57" s="83"/>
      <c r="H57" s="303">
        <v>0</v>
      </c>
      <c r="I57" s="71" t="s">
        <v>192</v>
      </c>
      <c r="J57" s="142">
        <f>H57*3.65</f>
        <v>0</v>
      </c>
      <c r="K57" s="143"/>
      <c r="L57" s="83"/>
      <c r="M57" s="522"/>
      <c r="N57" s="503"/>
      <c r="O57" s="83"/>
      <c r="P57" s="83"/>
      <c r="Q57" s="83"/>
    </row>
    <row r="58" spans="1:18" s="81" customFormat="1" x14ac:dyDescent="0.25">
      <c r="A58" s="88"/>
      <c r="B58" s="79"/>
      <c r="C58" s="80"/>
      <c r="D58" s="82"/>
      <c r="E58" s="126">
        <f>SUM(E54:E57)</f>
        <v>28</v>
      </c>
      <c r="F58" s="127">
        <f>SUM(F54:F57)</f>
        <v>336</v>
      </c>
      <c r="G58" s="83"/>
      <c r="H58" s="80"/>
      <c r="J58" s="128">
        <f>SUM(J52:J57)</f>
        <v>70.896000000000001</v>
      </c>
      <c r="K58" s="129">
        <f>ROUNDUP(SUM(K52:K57),0)</f>
        <v>183</v>
      </c>
      <c r="L58" s="83"/>
      <c r="M58" s="433" t="s">
        <v>202</v>
      </c>
      <c r="N58" s="428">
        <f>+K58-J58</f>
        <v>112.104</v>
      </c>
      <c r="O58" s="83"/>
      <c r="P58" s="83"/>
      <c r="Q58" s="83"/>
    </row>
    <row r="59" spans="1:18" s="81" customFormat="1" x14ac:dyDescent="0.25">
      <c r="A59" s="88"/>
      <c r="B59" s="79"/>
      <c r="C59" s="80"/>
      <c r="D59" s="82"/>
      <c r="E59" s="441" t="s">
        <v>204</v>
      </c>
      <c r="F59" s="484">
        <f>+F58/300</f>
        <v>1.1200000000000001</v>
      </c>
      <c r="G59" s="83"/>
      <c r="H59" s="80"/>
      <c r="I59" s="131" t="s">
        <v>189</v>
      </c>
      <c r="J59" s="113">
        <f>+J58/H52</f>
        <v>0.21099999999999999</v>
      </c>
      <c r="K59" s="112">
        <f>+K58/H52</f>
        <v>0.5446428571428571</v>
      </c>
      <c r="L59" s="83"/>
      <c r="M59" s="522"/>
      <c r="N59" s="503"/>
      <c r="O59" s="83"/>
      <c r="P59" s="83"/>
      <c r="Q59" s="83"/>
    </row>
    <row r="60" spans="1:18" s="81" customFormat="1" x14ac:dyDescent="0.25">
      <c r="A60" s="88"/>
      <c r="B60" s="79"/>
      <c r="C60" s="80"/>
      <c r="D60" s="82"/>
      <c r="E60" s="109"/>
      <c r="G60" s="83"/>
      <c r="H60" s="80"/>
      <c r="J60" s="111"/>
      <c r="L60" s="83"/>
      <c r="M60" s="492"/>
      <c r="N60" s="83"/>
      <c r="O60" s="83"/>
      <c r="P60" s="83"/>
      <c r="Q60" s="83"/>
    </row>
    <row r="61" spans="1:18" s="135" customFormat="1" x14ac:dyDescent="0.25">
      <c r="A61" s="132"/>
      <c r="B61" s="133"/>
      <c r="C61" s="134"/>
      <c r="D61" s="136"/>
      <c r="E61" s="137"/>
      <c r="H61" s="134"/>
      <c r="I61" s="138"/>
      <c r="J61" s="139"/>
      <c r="K61" s="140"/>
      <c r="M61" s="423"/>
    </row>
    <row r="62" spans="1:18" s="81" customFormat="1" x14ac:dyDescent="0.25">
      <c r="A62" s="88"/>
      <c r="B62" s="79"/>
      <c r="C62" s="80"/>
      <c r="E62" s="82"/>
      <c r="F62" s="109"/>
      <c r="H62" s="83"/>
      <c r="I62" s="80"/>
      <c r="J62" s="110"/>
      <c r="K62" s="111"/>
      <c r="L62" s="112"/>
      <c r="M62" s="83"/>
      <c r="N62" s="492"/>
      <c r="O62" s="83"/>
      <c r="P62" s="83"/>
      <c r="Q62" s="83"/>
      <c r="R62" s="83"/>
    </row>
    <row r="63" spans="1:18" s="81" customFormat="1" x14ac:dyDescent="0.25">
      <c r="A63" s="654" t="s">
        <v>215</v>
      </c>
      <c r="B63" s="79" t="s">
        <v>216</v>
      </c>
      <c r="C63" s="80"/>
      <c r="E63" s="82"/>
      <c r="F63" s="109"/>
      <c r="H63" s="83"/>
      <c r="I63" s="80"/>
      <c r="J63" s="110"/>
      <c r="K63" s="111"/>
      <c r="L63" s="112"/>
      <c r="M63" s="83"/>
      <c r="N63" s="492"/>
      <c r="O63" s="83"/>
      <c r="P63" s="83"/>
      <c r="Q63" s="83"/>
      <c r="R63" s="83"/>
    </row>
    <row r="64" spans="1:18" s="81" customFormat="1" x14ac:dyDescent="0.25">
      <c r="A64" s="13" t="s">
        <v>195</v>
      </c>
      <c r="B64" s="79"/>
      <c r="C64" s="80"/>
      <c r="E64" s="82"/>
      <c r="F64" s="109"/>
      <c r="H64" s="83"/>
      <c r="I64" s="80"/>
      <c r="J64" s="110"/>
      <c r="K64" s="111"/>
      <c r="L64" s="112"/>
      <c r="M64" s="83"/>
      <c r="N64" s="492"/>
      <c r="O64" s="83"/>
      <c r="P64" s="83"/>
      <c r="Q64" s="83"/>
      <c r="R64" s="83"/>
    </row>
    <row r="65" spans="1:18" s="81" customFormat="1" x14ac:dyDescent="0.25">
      <c r="A65" s="88"/>
      <c r="B65" s="79"/>
      <c r="C65" s="80"/>
      <c r="E65" s="82"/>
      <c r="F65" s="109"/>
      <c r="H65" s="83"/>
      <c r="I65" s="80"/>
      <c r="J65" s="110"/>
      <c r="K65" s="111"/>
      <c r="L65" s="112"/>
      <c r="M65" s="83"/>
      <c r="N65" s="492"/>
      <c r="O65" s="83"/>
      <c r="P65" s="83"/>
      <c r="Q65" s="83"/>
      <c r="R65" s="83"/>
    </row>
    <row r="66" spans="1:18" s="379" customFormat="1" x14ac:dyDescent="0.25">
      <c r="D66" s="380"/>
      <c r="F66" s="141"/>
      <c r="G66" s="382"/>
      <c r="H66" s="383"/>
      <c r="K66" s="141"/>
      <c r="N66" s="506"/>
    </row>
    <row r="67" spans="1:18" s="379" customFormat="1" x14ac:dyDescent="0.25">
      <c r="D67" s="380"/>
      <c r="F67" s="141"/>
      <c r="G67" s="382"/>
      <c r="H67" s="383"/>
      <c r="K67" s="141"/>
      <c r="N67" s="506"/>
    </row>
    <row r="68" spans="1:18" s="379" customFormat="1" x14ac:dyDescent="0.25">
      <c r="D68" s="380"/>
      <c r="F68" s="141"/>
      <c r="G68" s="382"/>
      <c r="H68" s="383"/>
      <c r="K68" s="141"/>
      <c r="N68" s="506"/>
    </row>
    <row r="69" spans="1:18" x14ac:dyDescent="0.25">
      <c r="D69" s="67"/>
      <c r="E69"/>
      <c r="F69" s="62"/>
      <c r="G69" s="13"/>
      <c r="H69" s="96"/>
      <c r="I69"/>
      <c r="K69" s="62"/>
      <c r="L69"/>
      <c r="M69" s="62"/>
      <c r="N69"/>
    </row>
    <row r="70" spans="1:18" x14ac:dyDescent="0.25">
      <c r="A70" t="s">
        <v>351</v>
      </c>
      <c r="D70" s="67"/>
      <c r="E70" s="62"/>
      <c r="F70" s="62"/>
      <c r="G70" s="13"/>
      <c r="H70" s="96"/>
      <c r="I70" s="62"/>
      <c r="J70" s="62"/>
      <c r="K70" s="62"/>
      <c r="L70"/>
      <c r="N70"/>
    </row>
    <row r="71" spans="1:18" ht="17.25" customHeight="1" x14ac:dyDescent="0.25">
      <c r="D71" s="532" t="s">
        <v>375</v>
      </c>
      <c r="E71" s="62"/>
      <c r="F71" s="62"/>
      <c r="G71" s="13"/>
      <c r="H71" s="96"/>
      <c r="I71" s="62"/>
      <c r="J71" s="62"/>
      <c r="K71" s="62"/>
      <c r="L71"/>
      <c r="N71"/>
    </row>
    <row r="72" spans="1:18" s="61" customFormat="1" x14ac:dyDescent="0.25">
      <c r="A72" s="61" t="s">
        <v>368</v>
      </c>
      <c r="D72" s="61" t="s">
        <v>369</v>
      </c>
      <c r="E72" s="453"/>
      <c r="F72" s="453"/>
      <c r="G72" s="458"/>
      <c r="H72" s="459"/>
      <c r="I72" s="453"/>
      <c r="J72" s="453"/>
      <c r="K72" s="453"/>
    </row>
    <row r="73" spans="1:18" x14ac:dyDescent="0.25">
      <c r="A73" t="s">
        <v>374</v>
      </c>
      <c r="B73" s="61"/>
      <c r="D73" s="67"/>
      <c r="E73" s="62" t="s">
        <v>366</v>
      </c>
      <c r="F73" s="461">
        <f>F58</f>
        <v>336</v>
      </c>
      <c r="G73" s="13"/>
      <c r="H73" s="96"/>
      <c r="I73" s="62"/>
      <c r="J73" s="62"/>
      <c r="K73" s="62"/>
      <c r="L73"/>
      <c r="N73"/>
    </row>
    <row r="74" spans="1:18" x14ac:dyDescent="0.25">
      <c r="A74" s="368" t="s">
        <v>364</v>
      </c>
      <c r="B74" s="460">
        <f>N58</f>
        <v>112.104</v>
      </c>
      <c r="D74" s="67"/>
      <c r="E74" s="71" t="s">
        <v>360</v>
      </c>
      <c r="F74" s="71">
        <v>10</v>
      </c>
      <c r="G74" s="13"/>
      <c r="H74" s="96"/>
      <c r="I74" s="62"/>
      <c r="J74" s="62"/>
      <c r="K74" s="62"/>
      <c r="L74"/>
      <c r="N74"/>
    </row>
    <row r="75" spans="1:18" x14ac:dyDescent="0.25">
      <c r="D75" s="67"/>
      <c r="E75" s="62"/>
      <c r="F75" s="62">
        <f>+F74*F73</f>
        <v>3360</v>
      </c>
      <c r="G75" s="13" t="s">
        <v>367</v>
      </c>
      <c r="H75" s="96"/>
      <c r="I75" s="62"/>
      <c r="J75" s="62"/>
      <c r="K75" s="62"/>
      <c r="L75"/>
      <c r="N75"/>
    </row>
    <row r="76" spans="1:18" x14ac:dyDescent="0.25">
      <c r="D76" s="67"/>
      <c r="E76" s="453" t="s">
        <v>361</v>
      </c>
      <c r="F76" s="453">
        <f>ROUNDUP((F75/300),0)</f>
        <v>12</v>
      </c>
      <c r="G76" s="13"/>
      <c r="H76" s="96"/>
      <c r="I76" s="62"/>
      <c r="J76" s="62"/>
      <c r="K76" s="62"/>
      <c r="L76"/>
      <c r="N76"/>
    </row>
    <row r="77" spans="1:18" x14ac:dyDescent="0.25">
      <c r="D77" s="67"/>
      <c r="E77" s="62" t="s">
        <v>362</v>
      </c>
      <c r="F77" s="454">
        <f>+F76*100</f>
        <v>1200</v>
      </c>
      <c r="G77" s="13"/>
      <c r="H77" s="96"/>
      <c r="I77" s="62"/>
      <c r="J77" s="62"/>
      <c r="K77" s="62"/>
      <c r="L77"/>
      <c r="N77"/>
    </row>
    <row r="78" spans="1:18" x14ac:dyDescent="0.25">
      <c r="D78" s="67"/>
      <c r="E78" s="62"/>
      <c r="F78" s="62"/>
      <c r="G78" s="13"/>
      <c r="H78" s="96"/>
      <c r="I78" s="62"/>
      <c r="J78" s="62"/>
      <c r="K78" s="62"/>
      <c r="L78"/>
      <c r="N78"/>
    </row>
    <row r="79" spans="1:18" x14ac:dyDescent="0.25">
      <c r="D79" s="455"/>
      <c r="E79" s="456" t="s">
        <v>363</v>
      </c>
      <c r="F79" s="457">
        <f>+F77/10</f>
        <v>120</v>
      </c>
      <c r="G79" s="13"/>
      <c r="H79" s="96"/>
      <c r="I79" s="62"/>
      <c r="J79" s="62"/>
      <c r="K79" s="62"/>
      <c r="L79"/>
      <c r="N79"/>
    </row>
    <row r="82" spans="1:14" s="379" customFormat="1" x14ac:dyDescent="0.25">
      <c r="D82" s="380"/>
      <c r="E82" s="141"/>
      <c r="F82" s="141"/>
      <c r="G82" s="382"/>
      <c r="H82" s="383"/>
      <c r="I82" s="141"/>
      <c r="J82" s="141"/>
      <c r="K82" s="141"/>
    </row>
    <row r="83" spans="1:14" s="379" customFormat="1" x14ac:dyDescent="0.25">
      <c r="D83" s="380"/>
      <c r="E83" s="141"/>
      <c r="F83" s="141"/>
      <c r="G83" s="382"/>
      <c r="H83" s="383"/>
      <c r="I83" s="141"/>
      <c r="J83" s="141"/>
      <c r="K83" s="141"/>
    </row>
    <row r="84" spans="1:14" s="379" customFormat="1" x14ac:dyDescent="0.25">
      <c r="D84" s="380"/>
      <c r="E84" s="141"/>
      <c r="F84" s="141"/>
      <c r="G84" s="382"/>
      <c r="H84" s="383"/>
      <c r="I84" s="141"/>
      <c r="J84" s="141"/>
      <c r="K84" s="141"/>
    </row>
    <row r="85" spans="1:14" x14ac:dyDescent="0.25">
      <c r="D85" s="67"/>
      <c r="E85" s="62"/>
      <c r="F85" s="62"/>
      <c r="G85" s="13"/>
      <c r="H85" s="96"/>
      <c r="I85" s="62"/>
      <c r="J85" s="62"/>
      <c r="K85" s="62"/>
      <c r="L85"/>
      <c r="N85"/>
    </row>
    <row r="86" spans="1:14" x14ac:dyDescent="0.25">
      <c r="D86" s="67"/>
      <c r="E86" s="62"/>
      <c r="F86" s="62"/>
      <c r="G86" s="13"/>
      <c r="H86" s="96"/>
      <c r="I86" s="62"/>
      <c r="J86" s="62"/>
      <c r="K86" s="62"/>
      <c r="L86"/>
      <c r="N86"/>
    </row>
    <row r="87" spans="1:14" x14ac:dyDescent="0.25">
      <c r="A87" t="s">
        <v>387</v>
      </c>
      <c r="D87" s="67"/>
      <c r="E87" s="62"/>
      <c r="F87" s="62"/>
      <c r="G87" t="s">
        <v>387</v>
      </c>
      <c r="H87"/>
      <c r="I87"/>
      <c r="J87" s="67"/>
      <c r="K87" s="62"/>
      <c r="L87"/>
      <c r="N87"/>
    </row>
    <row r="88" spans="1:14" x14ac:dyDescent="0.25">
      <c r="A88" t="s">
        <v>388</v>
      </c>
      <c r="D88" s="67"/>
      <c r="E88" s="62"/>
      <c r="F88" s="62"/>
      <c r="G88" s="64" t="s">
        <v>390</v>
      </c>
      <c r="H88"/>
      <c r="I88"/>
      <c r="J88" s="67"/>
      <c r="K88" s="62"/>
      <c r="L88"/>
      <c r="N88"/>
    </row>
    <row r="89" spans="1:14" x14ac:dyDescent="0.25">
      <c r="D89" s="67"/>
      <c r="E89" s="62"/>
      <c r="F89" s="62"/>
      <c r="G89"/>
      <c r="H89"/>
      <c r="I89"/>
      <c r="J89" s="67"/>
      <c r="K89" s="62"/>
      <c r="L89"/>
      <c r="N89"/>
    </row>
    <row r="90" spans="1:14" s="587" customFormat="1" x14ac:dyDescent="0.25">
      <c r="B90" s="587" t="s">
        <v>389</v>
      </c>
      <c r="C90" s="64" t="s">
        <v>113</v>
      </c>
      <c r="D90" s="593" t="s">
        <v>202</v>
      </c>
      <c r="E90" s="588"/>
      <c r="F90" s="588"/>
      <c r="H90" s="587" t="s">
        <v>389</v>
      </c>
      <c r="I90" s="64" t="s">
        <v>113</v>
      </c>
      <c r="J90" s="593" t="s">
        <v>202</v>
      </c>
      <c r="K90" s="588"/>
    </row>
    <row r="91" spans="1:14" s="587" customFormat="1" x14ac:dyDescent="0.25">
      <c r="A91" s="599">
        <v>0</v>
      </c>
      <c r="B91" s="66">
        <f>K58</f>
        <v>183</v>
      </c>
      <c r="C91" s="65">
        <f>J58</f>
        <v>70.896000000000001</v>
      </c>
      <c r="D91" s="603">
        <f>+B91-C91</f>
        <v>112.104</v>
      </c>
      <c r="E91" s="588"/>
      <c r="F91" s="588"/>
      <c r="G91" s="599">
        <v>0</v>
      </c>
      <c r="H91" s="602">
        <f>K34</f>
        <v>92</v>
      </c>
      <c r="I91" s="600">
        <f>J34</f>
        <v>39.097999999999999</v>
      </c>
      <c r="J91" s="601">
        <f>+H91-I91</f>
        <v>52.902000000000001</v>
      </c>
      <c r="K91" s="588"/>
    </row>
    <row r="92" spans="1:14" s="64" customFormat="1" x14ac:dyDescent="0.25">
      <c r="A92" s="596">
        <v>0.1</v>
      </c>
      <c r="B92" s="66">
        <f>0.9*B91</f>
        <v>164.70000000000002</v>
      </c>
      <c r="C92" s="65">
        <f>C91</f>
        <v>70.896000000000001</v>
      </c>
      <c r="D92" s="603">
        <f t="shared" ref="D92:D95" si="4">+B92-C92</f>
        <v>93.804000000000016</v>
      </c>
      <c r="E92" s="225"/>
      <c r="F92" s="225"/>
      <c r="G92" s="596">
        <v>0.1</v>
      </c>
      <c r="H92" s="587">
        <f>0.9*H91</f>
        <v>82.8</v>
      </c>
      <c r="I92" s="600">
        <f>I91</f>
        <v>39.097999999999999</v>
      </c>
      <c r="J92" s="601">
        <f t="shared" ref="J92:J95" si="5">+H92-I92</f>
        <v>43.701999999999998</v>
      </c>
      <c r="K92" s="225"/>
    </row>
    <row r="93" spans="1:14" s="507" customFormat="1" x14ac:dyDescent="0.25">
      <c r="A93" s="597">
        <v>0.15</v>
      </c>
      <c r="B93" s="66">
        <f>+B91*0.85</f>
        <v>155.54999999999998</v>
      </c>
      <c r="C93" s="65">
        <f t="shared" ref="C93:C95" si="6">C92</f>
        <v>70.896000000000001</v>
      </c>
      <c r="D93" s="603">
        <f t="shared" si="4"/>
        <v>84.653999999999982</v>
      </c>
      <c r="E93" s="498"/>
      <c r="F93" s="498"/>
      <c r="G93" s="597">
        <v>0.15</v>
      </c>
      <c r="H93" s="587">
        <f>+H91*0.85</f>
        <v>78.2</v>
      </c>
      <c r="I93" s="600">
        <f t="shared" ref="I93:I95" si="7">I92</f>
        <v>39.097999999999999</v>
      </c>
      <c r="J93" s="601">
        <f t="shared" si="5"/>
        <v>39.102000000000004</v>
      </c>
      <c r="K93" s="498"/>
    </row>
    <row r="94" spans="1:14" x14ac:dyDescent="0.25">
      <c r="A94" s="598">
        <v>0.2</v>
      </c>
      <c r="B94" s="66">
        <f>0.8*B91</f>
        <v>146.4</v>
      </c>
      <c r="C94" s="65">
        <f t="shared" si="6"/>
        <v>70.896000000000001</v>
      </c>
      <c r="D94" s="604">
        <f t="shared" si="4"/>
        <v>75.504000000000005</v>
      </c>
      <c r="E94" s="62"/>
      <c r="F94" s="62"/>
      <c r="G94" s="598">
        <v>0.2</v>
      </c>
      <c r="H94" s="587">
        <f>0.8*H91</f>
        <v>73.600000000000009</v>
      </c>
      <c r="I94" s="600">
        <f t="shared" si="7"/>
        <v>39.097999999999999</v>
      </c>
      <c r="J94" s="601">
        <f t="shared" si="5"/>
        <v>34.50200000000001</v>
      </c>
      <c r="K94" s="62"/>
      <c r="L94"/>
      <c r="N94"/>
    </row>
    <row r="95" spans="1:14" x14ac:dyDescent="0.25">
      <c r="A95" s="598">
        <v>0.25</v>
      </c>
      <c r="B95" s="66">
        <f>0.75*B91</f>
        <v>137.25</v>
      </c>
      <c r="C95" s="65">
        <f t="shared" si="6"/>
        <v>70.896000000000001</v>
      </c>
      <c r="D95" s="604">
        <f t="shared" si="4"/>
        <v>66.353999999999999</v>
      </c>
      <c r="E95" s="62"/>
      <c r="F95" s="62"/>
      <c r="G95" s="598">
        <v>0.25</v>
      </c>
      <c r="H95" s="587">
        <f>0.755*H91</f>
        <v>69.459999999999994</v>
      </c>
      <c r="I95" s="600">
        <f t="shared" si="7"/>
        <v>39.097999999999999</v>
      </c>
      <c r="J95" s="601">
        <f t="shared" si="5"/>
        <v>30.361999999999995</v>
      </c>
      <c r="K95" s="62"/>
      <c r="L95"/>
      <c r="N95"/>
    </row>
  </sheetData>
  <mergeCells count="1">
    <mergeCell ref="C4:D4"/>
  </mergeCells>
  <dataValidations count="1">
    <dataValidation type="list" allowBlank="1" showInputMessage="1" showErrorMessage="1" sqref="B30:B33 B16:B19 B54:B57 B42:B45" xr:uid="{FF0448FD-DAE0-462A-A892-14E4B9709262}">
      <formula1>$N$1:$N$3</formula1>
    </dataValidation>
  </dataValidations>
  <pageMargins left="0.7" right="0.7" top="0.75" bottom="0.75" header="0.3" footer="0.3"/>
  <pageSetup scale="62" fitToHeight="1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EB87F-DCC2-4F5C-9691-C1619A8F0DCC}">
  <sheetPr codeName="Sheet13">
    <pageSetUpPr fitToPage="1"/>
  </sheetPr>
  <dimension ref="A1:S75"/>
  <sheetViews>
    <sheetView topLeftCell="A7" workbookViewId="0"/>
  </sheetViews>
  <sheetFormatPr defaultColWidth="12.125" defaultRowHeight="15.75" x14ac:dyDescent="0.25"/>
  <cols>
    <col min="1" max="1" width="10" customWidth="1"/>
    <col min="5" max="5" width="12.125" style="67"/>
    <col min="7" max="7" width="12.125" style="95"/>
    <col min="8" max="8" width="12.125" style="13"/>
    <col min="9" max="9" width="12.125" style="96"/>
    <col min="12" max="12" width="12.125" style="62"/>
    <col min="15" max="15" width="12.125" style="53"/>
  </cols>
  <sheetData>
    <row r="1" spans="1:19" ht="30.75" customHeight="1" x14ac:dyDescent="0.55000000000000004">
      <c r="A1" s="234" t="s">
        <v>231</v>
      </c>
      <c r="B1" s="236"/>
      <c r="C1" s="236"/>
      <c r="D1" s="236"/>
      <c r="I1" s="117"/>
      <c r="J1" s="287"/>
      <c r="K1" s="287"/>
      <c r="L1" s="117"/>
      <c r="O1" s="546" t="s">
        <v>203</v>
      </c>
    </row>
    <row r="2" spans="1:19" s="98" customFormat="1" x14ac:dyDescent="0.25">
      <c r="A2" s="87"/>
      <c r="B2" s="200">
        <f>'Pep Costs'!B24</f>
        <v>105</v>
      </c>
      <c r="C2" s="87" t="s">
        <v>142</v>
      </c>
      <c r="D2" s="87"/>
      <c r="H2" s="113"/>
      <c r="I2" s="117"/>
      <c r="J2" s="429"/>
      <c r="K2" s="430"/>
      <c r="L2" s="471"/>
      <c r="O2" s="547" t="s">
        <v>187</v>
      </c>
      <c r="P2" s="117"/>
      <c r="Q2" s="117"/>
      <c r="R2" s="117"/>
      <c r="S2" s="117"/>
    </row>
    <row r="3" spans="1:19" s="98" customFormat="1" x14ac:dyDescent="0.25">
      <c r="A3" s="87"/>
      <c r="B3" s="170">
        <v>3.3</v>
      </c>
      <c r="C3" s="170" t="s">
        <v>185</v>
      </c>
      <c r="D3" s="87"/>
      <c r="F3" s="67"/>
      <c r="G3"/>
      <c r="H3" s="95"/>
      <c r="I3" s="117"/>
      <c r="J3" s="117"/>
      <c r="K3" s="117"/>
      <c r="L3" s="152"/>
      <c r="O3" s="547" t="s">
        <v>206</v>
      </c>
      <c r="P3" s="117"/>
      <c r="Q3" s="117"/>
      <c r="R3" s="117"/>
      <c r="S3" s="117"/>
    </row>
    <row r="4" spans="1:19" s="98" customFormat="1" ht="33.75" customHeight="1" x14ac:dyDescent="0.4">
      <c r="A4" s="87"/>
      <c r="B4" s="142">
        <v>15</v>
      </c>
      <c r="C4" s="656" t="s">
        <v>230</v>
      </c>
      <c r="D4" s="665"/>
      <c r="F4" s="544" t="s">
        <v>349</v>
      </c>
      <c r="G4" s="545" t="s">
        <v>144</v>
      </c>
      <c r="I4" s="117"/>
      <c r="J4" s="158"/>
      <c r="K4" s="117"/>
      <c r="L4" s="152"/>
      <c r="O4" s="548"/>
      <c r="P4" s="117"/>
      <c r="Q4" s="117"/>
      <c r="R4" s="117"/>
      <c r="S4" s="117"/>
    </row>
    <row r="5" spans="1:19" s="98" customFormat="1" x14ac:dyDescent="0.25">
      <c r="A5" s="314"/>
      <c r="B5" s="87">
        <f>SUM(B2:B4)</f>
        <v>123.3</v>
      </c>
      <c r="C5" s="87"/>
      <c r="D5" s="87"/>
      <c r="F5" s="538">
        <v>100</v>
      </c>
      <c r="G5" s="543">
        <f>+F5+B5</f>
        <v>223.3</v>
      </c>
      <c r="I5" s="117"/>
      <c r="J5" s="158"/>
      <c r="K5" s="117"/>
      <c r="L5" s="152"/>
      <c r="O5" s="549"/>
      <c r="P5" s="117"/>
      <c r="Q5" s="117"/>
      <c r="R5" s="117"/>
      <c r="S5" s="117"/>
    </row>
    <row r="6" spans="1:19" s="98" customFormat="1" x14ac:dyDescent="0.25">
      <c r="A6" s="87"/>
      <c r="B6" s="87"/>
      <c r="C6" s="87"/>
      <c r="D6" s="87"/>
      <c r="F6" s="539"/>
      <c r="G6" s="542"/>
      <c r="I6" s="117"/>
      <c r="J6" s="80"/>
      <c r="L6" s="152"/>
      <c r="M6" s="117"/>
      <c r="N6" s="117"/>
      <c r="O6" s="550"/>
      <c r="P6" s="117"/>
      <c r="Q6" s="117"/>
      <c r="R6" s="117"/>
      <c r="S6" s="117"/>
    </row>
    <row r="7" spans="1:19" s="98" customFormat="1" x14ac:dyDescent="0.25">
      <c r="A7" s="225" t="s">
        <v>189</v>
      </c>
      <c r="B7" s="87">
        <f>+B5/300</f>
        <v>0.41099999999999998</v>
      </c>
      <c r="C7" s="87"/>
      <c r="D7" s="87"/>
      <c r="E7" s="389"/>
      <c r="F7" s="541" t="s">
        <v>189</v>
      </c>
      <c r="G7" s="542">
        <f>+G5/300</f>
        <v>0.7443333333333334</v>
      </c>
      <c r="I7" s="80"/>
      <c r="K7" s="152"/>
      <c r="L7" s="153"/>
      <c r="M7" s="117"/>
      <c r="N7" s="117"/>
      <c r="O7" s="550"/>
      <c r="P7" s="117"/>
      <c r="Q7" s="117"/>
      <c r="R7" s="117"/>
    </row>
    <row r="8" spans="1:19" s="117" customFormat="1" x14ac:dyDescent="0.25">
      <c r="A8" s="62"/>
      <c r="B8" s="128"/>
      <c r="E8" s="389"/>
      <c r="I8" s="158"/>
      <c r="K8" s="152"/>
      <c r="L8" s="153"/>
      <c r="O8" s="550"/>
    </row>
    <row r="9" spans="1:19" s="161" customFormat="1" x14ac:dyDescent="0.25">
      <c r="A9" s="159"/>
      <c r="B9" s="160"/>
      <c r="D9" s="162"/>
      <c r="E9" s="163"/>
      <c r="H9" s="164"/>
      <c r="J9" s="165"/>
      <c r="K9" s="166"/>
      <c r="N9" s="551"/>
    </row>
    <row r="10" spans="1:19" s="161" customFormat="1" x14ac:dyDescent="0.25">
      <c r="A10" s="159"/>
      <c r="B10" s="160"/>
      <c r="D10" s="162"/>
      <c r="E10" s="163"/>
      <c r="H10" s="164"/>
      <c r="J10" s="165"/>
      <c r="K10" s="166"/>
      <c r="N10" s="551"/>
    </row>
    <row r="11" spans="1:19" s="161" customFormat="1" x14ac:dyDescent="0.25">
      <c r="A11" s="159"/>
      <c r="B11" s="160"/>
      <c r="D11" s="162"/>
      <c r="E11" s="163"/>
      <c r="H11" s="164"/>
      <c r="J11" s="165"/>
      <c r="K11" s="166"/>
      <c r="N11" s="551"/>
    </row>
    <row r="12" spans="1:19" s="174" customFormat="1" x14ac:dyDescent="0.25">
      <c r="B12" s="172"/>
      <c r="C12" s="173"/>
      <c r="D12" s="175"/>
      <c r="E12" s="176"/>
      <c r="F12" s="177"/>
      <c r="G12" s="172"/>
      <c r="H12" s="178"/>
      <c r="I12" s="179"/>
      <c r="J12" s="180"/>
      <c r="K12" s="181"/>
      <c r="L12" s="179"/>
      <c r="M12" s="179"/>
      <c r="N12" s="552"/>
    </row>
    <row r="13" spans="1:19" s="98" customFormat="1" x14ac:dyDescent="0.25">
      <c r="A13" s="15"/>
      <c r="B13" s="87"/>
      <c r="C13" s="80"/>
      <c r="D13" s="115"/>
      <c r="E13" s="116"/>
      <c r="G13" s="117"/>
      <c r="H13" s="80"/>
      <c r="J13" s="152"/>
      <c r="K13" s="153"/>
      <c r="L13" s="117"/>
      <c r="M13" s="117"/>
      <c r="N13" s="550"/>
      <c r="O13" s="117"/>
      <c r="P13" s="117"/>
      <c r="Q13" s="117"/>
    </row>
    <row r="14" spans="1:19" s="98" customFormat="1" x14ac:dyDescent="0.25">
      <c r="A14" s="168" t="s">
        <v>218</v>
      </c>
      <c r="B14" s="87"/>
      <c r="C14" s="80"/>
      <c r="D14" s="115"/>
      <c r="E14" s="116"/>
      <c r="G14" s="117"/>
      <c r="H14" s="80"/>
      <c r="K14" s="280" t="s">
        <v>144</v>
      </c>
      <c r="L14" s="117"/>
      <c r="M14" s="117"/>
      <c r="N14" s="550"/>
      <c r="O14" s="117"/>
      <c r="P14" s="117"/>
      <c r="Q14" s="117"/>
    </row>
    <row r="15" spans="1:19" s="98" customFormat="1" x14ac:dyDescent="0.25">
      <c r="A15" s="15"/>
      <c r="B15" s="121"/>
      <c r="C15" s="80"/>
      <c r="D15" s="115"/>
      <c r="E15" s="116"/>
      <c r="G15" s="117"/>
      <c r="H15" s="261">
        <f>ROUNDUP(F21,0)</f>
        <v>80</v>
      </c>
      <c r="I15" s="262" t="s">
        <v>201</v>
      </c>
      <c r="J15" s="87">
        <f>B7*H15</f>
        <v>32.879999999999995</v>
      </c>
      <c r="K15" s="264">
        <f>G7*H15</f>
        <v>59.546666666666674</v>
      </c>
      <c r="L15" s="117"/>
      <c r="M15" s="117"/>
      <c r="N15" s="550"/>
      <c r="O15" s="117"/>
      <c r="P15" s="117"/>
      <c r="Q15" s="117"/>
    </row>
    <row r="16" spans="1:19" s="125" customFormat="1" ht="31.5" x14ac:dyDescent="0.25">
      <c r="A16" s="182"/>
      <c r="B16" s="183" t="s">
        <v>199</v>
      </c>
      <c r="C16" s="184" t="s">
        <v>196</v>
      </c>
      <c r="D16" s="183" t="s">
        <v>197</v>
      </c>
      <c r="E16" s="169" t="s">
        <v>198</v>
      </c>
      <c r="F16" s="185" t="s">
        <v>188</v>
      </c>
      <c r="G16" s="124"/>
      <c r="H16" s="265">
        <v>0</v>
      </c>
      <c r="I16" s="309" t="s">
        <v>177</v>
      </c>
      <c r="J16" s="310">
        <f>+H16*45</f>
        <v>0</v>
      </c>
      <c r="K16" s="311">
        <f>+H16*85</f>
        <v>0</v>
      </c>
      <c r="L16" s="124"/>
      <c r="M16" s="124"/>
      <c r="N16" s="553"/>
      <c r="O16" s="124"/>
      <c r="P16" s="124"/>
      <c r="Q16" s="124"/>
    </row>
    <row r="17" spans="1:17" s="81" customFormat="1" x14ac:dyDescent="0.25">
      <c r="A17" s="306" t="s">
        <v>219</v>
      </c>
      <c r="B17" s="251" t="s">
        <v>187</v>
      </c>
      <c r="C17" s="252"/>
      <c r="D17" s="251">
        <v>5</v>
      </c>
      <c r="E17" s="254">
        <f>IF(B17="Daily",7, IF(B17="Weekly",1, IF(B17="Every Other Day",4,"")))</f>
        <v>4</v>
      </c>
      <c r="F17" s="255">
        <f>+D17*E17</f>
        <v>20</v>
      </c>
      <c r="G17" s="83"/>
      <c r="H17" s="266">
        <f>IF(E21&gt;=25, E21+2, E21+1)</f>
        <v>17</v>
      </c>
      <c r="I17" s="305" t="s">
        <v>217</v>
      </c>
      <c r="J17" s="87"/>
      <c r="K17" s="263"/>
      <c r="L17" s="83"/>
      <c r="M17" s="83"/>
      <c r="N17" s="554"/>
      <c r="O17" s="83"/>
      <c r="P17" s="83"/>
      <c r="Q17" s="83"/>
    </row>
    <row r="18" spans="1:17" s="81" customFormat="1" x14ac:dyDescent="0.25">
      <c r="A18" s="306" t="s">
        <v>219</v>
      </c>
      <c r="B18" s="251" t="s">
        <v>206</v>
      </c>
      <c r="C18" s="252"/>
      <c r="D18" s="251">
        <v>5</v>
      </c>
      <c r="E18" s="256">
        <f>IF(B18="Daily",7, IF(B18="Weekly",1, IF(B18="Every Other Day",4,"")))</f>
        <v>1</v>
      </c>
      <c r="F18" s="255">
        <f t="shared" ref="F18:F20" si="0">+D18*E18</f>
        <v>5</v>
      </c>
      <c r="G18" s="83"/>
      <c r="H18" s="266">
        <f>ROUNDUP(F22,0)</f>
        <v>1</v>
      </c>
      <c r="I18" s="305" t="s">
        <v>190</v>
      </c>
      <c r="J18" s="87"/>
      <c r="K18" s="263"/>
      <c r="L18" s="83"/>
      <c r="M18" s="83"/>
      <c r="N18" s="554"/>
      <c r="O18" s="83"/>
      <c r="P18" s="83"/>
      <c r="Q18" s="83"/>
    </row>
    <row r="19" spans="1:17" s="81" customFormat="1" x14ac:dyDescent="0.25">
      <c r="A19" s="306" t="s">
        <v>219</v>
      </c>
      <c r="B19" s="251" t="s">
        <v>203</v>
      </c>
      <c r="C19" s="252"/>
      <c r="D19" s="251">
        <v>5</v>
      </c>
      <c r="E19" s="256">
        <f>IF(B19="Daily",7, IF(B19="Weekly",1, IF(B19="Every Other Day",4,"")))</f>
        <v>7</v>
      </c>
      <c r="F19" s="255">
        <f t="shared" si="0"/>
        <v>35</v>
      </c>
      <c r="G19" s="83"/>
      <c r="H19" s="266">
        <f>H17</f>
        <v>17</v>
      </c>
      <c r="I19" s="305" t="s">
        <v>200</v>
      </c>
      <c r="J19" s="87"/>
      <c r="K19" s="263"/>
      <c r="L19" s="83"/>
      <c r="M19" s="83"/>
      <c r="N19" s="554"/>
      <c r="O19" s="83"/>
      <c r="P19" s="83"/>
      <c r="Q19" s="83"/>
    </row>
    <row r="20" spans="1:17" s="81" customFormat="1" x14ac:dyDescent="0.25">
      <c r="A20" s="306" t="s">
        <v>219</v>
      </c>
      <c r="B20" s="257" t="s">
        <v>187</v>
      </c>
      <c r="C20" s="258"/>
      <c r="D20" s="257">
        <v>5</v>
      </c>
      <c r="E20" s="259">
        <f>IF(B20="Daily",7, IF(B20="Weekly",1, IF(B20="Every Other Day",4,"")))</f>
        <v>4</v>
      </c>
      <c r="F20" s="260">
        <f t="shared" si="0"/>
        <v>20</v>
      </c>
      <c r="G20" s="83"/>
      <c r="H20" s="252">
        <v>0</v>
      </c>
      <c r="I20" s="304" t="s">
        <v>192</v>
      </c>
      <c r="J20" s="142">
        <f>H20*3.65</f>
        <v>0</v>
      </c>
      <c r="K20" s="267"/>
      <c r="L20" s="83"/>
      <c r="M20" s="83"/>
      <c r="N20" s="554"/>
      <c r="O20" s="83"/>
      <c r="P20" s="83"/>
      <c r="Q20" s="83"/>
    </row>
    <row r="21" spans="1:17" s="81" customFormat="1" x14ac:dyDescent="0.25">
      <c r="A21" s="88"/>
      <c r="B21" s="79"/>
      <c r="C21" s="80"/>
      <c r="D21" s="82"/>
      <c r="E21" s="167">
        <f>SUM(E17:E20)</f>
        <v>16</v>
      </c>
      <c r="F21" s="279">
        <f>SUM(F17:F20)</f>
        <v>80</v>
      </c>
      <c r="G21" s="83"/>
      <c r="H21" s="80"/>
      <c r="J21" s="128">
        <f>SUM(J15:J20)</f>
        <v>32.879999999999995</v>
      </c>
      <c r="K21" s="269">
        <f>ROUNDUP(SUM(K15:K20),0)</f>
        <v>60</v>
      </c>
      <c r="L21" s="83"/>
      <c r="M21" s="433" t="s">
        <v>202</v>
      </c>
      <c r="N21" s="428">
        <f>+K21-J21</f>
        <v>27.120000000000005</v>
      </c>
      <c r="O21" s="83"/>
      <c r="P21" s="83"/>
      <c r="Q21" s="83"/>
    </row>
    <row r="22" spans="1:17" s="81" customFormat="1" x14ac:dyDescent="0.25">
      <c r="A22" s="88"/>
      <c r="B22" s="79"/>
      <c r="C22" s="80"/>
      <c r="D22" s="82"/>
      <c r="E22" s="89" t="s">
        <v>204</v>
      </c>
      <c r="F22" s="110">
        <f>+F21/300</f>
        <v>0.26666666666666666</v>
      </c>
      <c r="G22" s="83"/>
      <c r="H22" s="80"/>
      <c r="I22" s="131" t="s">
        <v>189</v>
      </c>
      <c r="J22" s="113">
        <f>+J21/H15</f>
        <v>0.41099999999999992</v>
      </c>
      <c r="K22" s="112">
        <f>+K21/H15</f>
        <v>0.75</v>
      </c>
      <c r="L22" s="83"/>
      <c r="M22" s="83"/>
      <c r="N22" s="554"/>
      <c r="O22" s="83"/>
      <c r="P22" s="83"/>
      <c r="Q22" s="83"/>
    </row>
    <row r="23" spans="1:17" s="81" customFormat="1" x14ac:dyDescent="0.25">
      <c r="A23" s="88"/>
      <c r="B23" s="79"/>
      <c r="C23" s="80"/>
      <c r="D23" s="82"/>
      <c r="E23" s="109"/>
      <c r="G23" s="83"/>
      <c r="H23" s="80"/>
      <c r="L23" s="83"/>
      <c r="M23" s="83"/>
      <c r="N23" s="554"/>
      <c r="O23" s="83"/>
      <c r="P23" s="83"/>
      <c r="Q23" s="83"/>
    </row>
    <row r="24" spans="1:17" s="161" customFormat="1" x14ac:dyDescent="0.25">
      <c r="A24" s="159"/>
      <c r="B24" s="160"/>
      <c r="D24" s="162"/>
      <c r="E24" s="163"/>
      <c r="H24" s="164"/>
      <c r="J24" s="165"/>
      <c r="K24" s="166"/>
      <c r="N24" s="551"/>
    </row>
    <row r="25" spans="1:17" s="161" customFormat="1" x14ac:dyDescent="0.25">
      <c r="A25" s="159"/>
      <c r="B25" s="160"/>
      <c r="D25" s="162"/>
      <c r="E25" s="163"/>
      <c r="H25" s="164"/>
      <c r="J25" s="165"/>
      <c r="K25" s="166"/>
      <c r="N25" s="551"/>
    </row>
    <row r="26" spans="1:17" s="161" customFormat="1" x14ac:dyDescent="0.25">
      <c r="A26" s="159"/>
      <c r="B26" s="160"/>
      <c r="D26" s="162"/>
      <c r="E26" s="163"/>
      <c r="H26" s="164"/>
      <c r="J26" s="165"/>
      <c r="K26" s="166"/>
      <c r="N26" s="551"/>
    </row>
    <row r="27" spans="1:17" s="161" customFormat="1" x14ac:dyDescent="0.25">
      <c r="A27" s="159"/>
      <c r="B27" s="160"/>
      <c r="D27" s="162"/>
      <c r="E27" s="163"/>
      <c r="H27" s="164"/>
      <c r="J27" s="165"/>
      <c r="K27" s="166"/>
      <c r="N27" s="551"/>
    </row>
    <row r="28" spans="1:17" s="98" customFormat="1" x14ac:dyDescent="0.25">
      <c r="A28" s="15"/>
      <c r="B28" s="87"/>
      <c r="C28" s="80"/>
      <c r="D28" s="115"/>
      <c r="E28" s="116"/>
      <c r="G28" s="117"/>
      <c r="H28" s="80"/>
      <c r="J28" s="152"/>
      <c r="K28" s="153"/>
      <c r="L28" s="117"/>
      <c r="M28" s="117"/>
      <c r="N28" s="550"/>
      <c r="O28" s="117"/>
      <c r="P28" s="117"/>
      <c r="Q28" s="117"/>
    </row>
    <row r="29" spans="1:17" s="98" customFormat="1" x14ac:dyDescent="0.25">
      <c r="A29" s="15"/>
      <c r="B29" s="87"/>
      <c r="C29" s="80"/>
      <c r="D29" s="115"/>
      <c r="E29" s="116"/>
      <c r="G29" s="117"/>
      <c r="H29" s="80"/>
      <c r="K29" s="114" t="s">
        <v>144</v>
      </c>
      <c r="L29" s="117"/>
      <c r="M29" s="117"/>
      <c r="N29" s="550"/>
      <c r="O29" s="117"/>
      <c r="P29" s="117"/>
      <c r="Q29" s="117"/>
    </row>
    <row r="30" spans="1:17" s="98" customFormat="1" x14ac:dyDescent="0.25">
      <c r="A30" s="15"/>
      <c r="B30" s="121"/>
      <c r="C30" s="80"/>
      <c r="D30" s="115"/>
      <c r="E30" s="116"/>
      <c r="G30" s="117"/>
      <c r="H30" s="118">
        <f>ROUNDUP(F36,0)</f>
        <v>280</v>
      </c>
      <c r="I30" s="119" t="s">
        <v>201</v>
      </c>
      <c r="J30" s="87">
        <f>F36*B7</f>
        <v>115.08</v>
      </c>
      <c r="K30" s="120">
        <f>+F36*G7</f>
        <v>208.41333333333336</v>
      </c>
      <c r="L30" s="117"/>
      <c r="M30" s="117"/>
      <c r="N30" s="550"/>
      <c r="O30" s="117"/>
      <c r="P30" s="117"/>
      <c r="Q30" s="117"/>
    </row>
    <row r="31" spans="1:17" s="125" customFormat="1" ht="31.5" x14ac:dyDescent="0.25">
      <c r="A31" s="653" t="s">
        <v>266</v>
      </c>
      <c r="B31" s="148" t="s">
        <v>199</v>
      </c>
      <c r="C31" s="149" t="s">
        <v>196</v>
      </c>
      <c r="D31" s="148" t="s">
        <v>197</v>
      </c>
      <c r="E31" s="122" t="s">
        <v>198</v>
      </c>
      <c r="F31" s="150" t="s">
        <v>188</v>
      </c>
      <c r="G31" s="124"/>
      <c r="H31" s="302">
        <v>0</v>
      </c>
      <c r="I31" s="62" t="s">
        <v>177</v>
      </c>
      <c r="J31" s="87">
        <f>+H31*45</f>
        <v>0</v>
      </c>
      <c r="K31" s="93">
        <f>H31*85</f>
        <v>0</v>
      </c>
      <c r="L31" s="124"/>
      <c r="M31" s="124"/>
      <c r="N31" s="553"/>
      <c r="O31" s="124"/>
      <c r="P31" s="124"/>
      <c r="Q31" s="124"/>
    </row>
    <row r="32" spans="1:17" s="81" customFormat="1" x14ac:dyDescent="0.25">
      <c r="A32" s="78" t="s">
        <v>108</v>
      </c>
      <c r="B32" s="199" t="s">
        <v>203</v>
      </c>
      <c r="C32" s="192">
        <v>2330</v>
      </c>
      <c r="D32" s="199">
        <v>10</v>
      </c>
      <c r="E32" s="145">
        <f>IF(B32="Daily",7, IF(B32="Weekly",1, IF(B32="Every Other Day",4,"")))</f>
        <v>7</v>
      </c>
      <c r="F32" s="146">
        <f>+D32*E32</f>
        <v>70</v>
      </c>
      <c r="G32" s="83"/>
      <c r="H32" s="80">
        <f>IF(E36&gt;=25, E36+2, E36+1)</f>
        <v>30</v>
      </c>
      <c r="I32" s="62" t="s">
        <v>217</v>
      </c>
      <c r="J32" s="87"/>
      <c r="K32" s="93"/>
      <c r="L32" s="83"/>
      <c r="M32" s="83"/>
      <c r="N32" s="554"/>
      <c r="O32" s="83"/>
      <c r="P32" s="83"/>
      <c r="Q32" s="83"/>
    </row>
    <row r="33" spans="1:18" s="81" customFormat="1" x14ac:dyDescent="0.25">
      <c r="A33" s="78" t="s">
        <v>109</v>
      </c>
      <c r="B33" s="199" t="s">
        <v>203</v>
      </c>
      <c r="C33" s="192">
        <v>2330</v>
      </c>
      <c r="D33" s="199">
        <v>10</v>
      </c>
      <c r="E33" s="147">
        <f>IF(B33="Daily",7, IF(B33="Weekly",1, IF(B33="Every Other Day",4,"")))</f>
        <v>7</v>
      </c>
      <c r="F33" s="146">
        <f t="shared" ref="F33:F35" si="1">+D33*E33</f>
        <v>70</v>
      </c>
      <c r="G33" s="83"/>
      <c r="H33" s="80">
        <f>ROUNDUP(F37,0)</f>
        <v>1</v>
      </c>
      <c r="I33" s="62" t="s">
        <v>190</v>
      </c>
      <c r="J33" s="87"/>
      <c r="K33" s="93"/>
      <c r="L33" s="83"/>
      <c r="M33" s="83"/>
      <c r="N33" s="554"/>
      <c r="O33" s="83"/>
      <c r="P33" s="83"/>
      <c r="Q33" s="83"/>
    </row>
    <row r="34" spans="1:18" s="81" customFormat="1" x14ac:dyDescent="0.25">
      <c r="A34" s="78" t="s">
        <v>110</v>
      </c>
      <c r="B34" s="199" t="s">
        <v>203</v>
      </c>
      <c r="C34" s="192">
        <v>2330</v>
      </c>
      <c r="D34" s="199">
        <v>10</v>
      </c>
      <c r="E34" s="147">
        <f>IF(B34="Daily",7, IF(B34="Weekly",1, IF(B34="Every Other Day",4,"")))</f>
        <v>7</v>
      </c>
      <c r="F34" s="146">
        <f t="shared" si="1"/>
        <v>70</v>
      </c>
      <c r="G34" s="83"/>
      <c r="H34" s="80">
        <f>H32</f>
        <v>30</v>
      </c>
      <c r="I34" s="62" t="s">
        <v>200</v>
      </c>
      <c r="J34" s="87"/>
      <c r="K34" s="93"/>
      <c r="L34" s="83"/>
      <c r="M34" s="83"/>
      <c r="N34" s="554"/>
      <c r="O34" s="83"/>
      <c r="P34" s="83"/>
      <c r="Q34" s="83"/>
    </row>
    <row r="35" spans="1:18" s="81" customFormat="1" x14ac:dyDescent="0.25">
      <c r="A35" s="100" t="s">
        <v>141</v>
      </c>
      <c r="B35" s="101" t="s">
        <v>203</v>
      </c>
      <c r="C35" s="102">
        <v>2330</v>
      </c>
      <c r="D35" s="101">
        <v>10</v>
      </c>
      <c r="E35" s="144">
        <f>IF(B35="Daily",7, IF(B35="Weekly",1, IF(B35="Every Other Day",4,"")))</f>
        <v>7</v>
      </c>
      <c r="F35" s="103">
        <f t="shared" si="1"/>
        <v>70</v>
      </c>
      <c r="G35" s="83"/>
      <c r="H35" s="303">
        <v>1</v>
      </c>
      <c r="I35" s="71" t="s">
        <v>192</v>
      </c>
      <c r="J35" s="142">
        <f>H35*3.65</f>
        <v>3.65</v>
      </c>
      <c r="K35" s="143"/>
      <c r="L35" s="83"/>
      <c r="M35" s="83"/>
      <c r="N35" s="554"/>
      <c r="O35" s="83"/>
      <c r="P35" s="83"/>
      <c r="Q35" s="83"/>
    </row>
    <row r="36" spans="1:18" s="81" customFormat="1" x14ac:dyDescent="0.25">
      <c r="A36" s="88"/>
      <c r="B36" s="79"/>
      <c r="C36" s="80"/>
      <c r="D36" s="82"/>
      <c r="E36" s="167">
        <f>SUM(E32:E35)</f>
        <v>28</v>
      </c>
      <c r="F36" s="127">
        <f>SUM(F32:F35)</f>
        <v>280</v>
      </c>
      <c r="G36" s="83"/>
      <c r="H36" s="80"/>
      <c r="J36" s="128">
        <f>SUM(J30:J35)</f>
        <v>118.73</v>
      </c>
      <c r="K36" s="129">
        <f>ROUNDUP(SUM(K30:K35),0)</f>
        <v>209</v>
      </c>
      <c r="L36" s="83"/>
      <c r="M36" s="427" t="s">
        <v>202</v>
      </c>
      <c r="N36" s="428">
        <f>+K36-J36</f>
        <v>90.27</v>
      </c>
      <c r="O36" s="83"/>
      <c r="P36" s="83"/>
      <c r="Q36" s="83"/>
    </row>
    <row r="37" spans="1:18" s="81" customFormat="1" x14ac:dyDescent="0.25">
      <c r="A37" s="88"/>
      <c r="B37" s="79"/>
      <c r="C37" s="80"/>
      <c r="D37" s="82"/>
      <c r="E37" s="441" t="s">
        <v>204</v>
      </c>
      <c r="F37" s="484">
        <f>+F36/300</f>
        <v>0.93333333333333335</v>
      </c>
      <c r="G37" s="83"/>
      <c r="H37" s="80"/>
      <c r="I37" s="131" t="s">
        <v>189</v>
      </c>
      <c r="J37" s="113">
        <f>+J36/H30</f>
        <v>0.42403571428571429</v>
      </c>
      <c r="K37" s="112">
        <f>+K36/H30</f>
        <v>0.74642857142857144</v>
      </c>
      <c r="L37" s="83"/>
      <c r="M37" s="83"/>
      <c r="N37" s="554"/>
      <c r="O37" s="83"/>
      <c r="P37" s="83"/>
      <c r="Q37" s="83"/>
    </row>
    <row r="38" spans="1:18" s="81" customFormat="1" x14ac:dyDescent="0.25">
      <c r="A38" s="88"/>
      <c r="B38" s="79"/>
      <c r="C38" s="80"/>
      <c r="D38" s="82"/>
      <c r="E38" s="109"/>
      <c r="G38" s="83"/>
      <c r="H38" s="80"/>
      <c r="I38" s="131"/>
      <c r="J38" s="131"/>
      <c r="K38" s="131"/>
      <c r="L38" s="83"/>
      <c r="M38" s="83"/>
      <c r="N38" s="554"/>
      <c r="O38" s="83"/>
      <c r="P38" s="83"/>
      <c r="Q38" s="83"/>
    </row>
    <row r="39" spans="1:18" s="81" customFormat="1" x14ac:dyDescent="0.25">
      <c r="A39" s="88"/>
      <c r="B39" s="79"/>
      <c r="C39" s="80"/>
      <c r="D39" s="82"/>
      <c r="E39" s="109"/>
      <c r="G39" s="83"/>
      <c r="H39" s="80"/>
      <c r="L39" s="83"/>
      <c r="M39" s="83"/>
      <c r="N39" s="554"/>
      <c r="O39" s="83"/>
      <c r="P39" s="83"/>
      <c r="Q39" s="83"/>
    </row>
    <row r="40" spans="1:18" s="107" customFormat="1" x14ac:dyDescent="0.25">
      <c r="A40" s="104"/>
      <c r="B40" s="105"/>
      <c r="C40" s="106"/>
      <c r="D40" s="108"/>
      <c r="E40" s="151"/>
      <c r="H40" s="106"/>
      <c r="N40" s="555"/>
    </row>
    <row r="41" spans="1:18" s="98" customFormat="1" x14ac:dyDescent="0.25">
      <c r="A41" s="15"/>
      <c r="B41" s="87"/>
      <c r="C41" s="80"/>
      <c r="D41" s="117"/>
      <c r="E41" s="270"/>
      <c r="F41" s="271"/>
      <c r="G41" s="117"/>
      <c r="H41" s="117"/>
      <c r="I41" s="158"/>
      <c r="J41" s="117"/>
      <c r="K41" s="152"/>
      <c r="L41" s="153"/>
      <c r="M41" s="117"/>
      <c r="N41" s="117"/>
      <c r="O41" s="550"/>
      <c r="P41" s="117"/>
      <c r="Q41" s="117"/>
      <c r="R41" s="117"/>
    </row>
    <row r="42" spans="1:18" s="98" customFormat="1" x14ac:dyDescent="0.25">
      <c r="A42" s="314" t="s">
        <v>232</v>
      </c>
      <c r="B42" s="87"/>
      <c r="C42" s="80"/>
      <c r="D42" s="117"/>
      <c r="E42" s="270"/>
      <c r="F42" s="271"/>
      <c r="G42" s="117"/>
      <c r="H42" s="117"/>
      <c r="I42" s="158"/>
      <c r="J42" s="117"/>
      <c r="K42" s="117"/>
      <c r="L42" s="287"/>
      <c r="M42" s="117"/>
      <c r="N42" s="117"/>
      <c r="O42" s="550"/>
      <c r="P42" s="117"/>
      <c r="Q42" s="117"/>
      <c r="R42" s="117"/>
    </row>
    <row r="43" spans="1:18" s="98" customFormat="1" x14ac:dyDescent="0.25">
      <c r="A43" s="15"/>
      <c r="B43" s="121"/>
      <c r="C43" s="80"/>
      <c r="D43" s="117"/>
      <c r="E43" s="270"/>
      <c r="F43" s="271"/>
      <c r="G43" s="117"/>
      <c r="H43" s="117"/>
      <c r="I43" s="288"/>
      <c r="J43" s="289"/>
      <c r="K43" s="128"/>
      <c r="L43" s="117"/>
      <c r="M43" s="117"/>
      <c r="N43" s="117"/>
      <c r="O43" s="550"/>
      <c r="P43" s="117"/>
      <c r="Q43" s="117"/>
      <c r="R43" s="117"/>
    </row>
    <row r="45" spans="1:18" s="379" customFormat="1" x14ac:dyDescent="0.25">
      <c r="D45" s="380"/>
      <c r="F45" s="141"/>
      <c r="G45" s="382"/>
      <c r="H45" s="383"/>
      <c r="K45" s="141"/>
      <c r="N45" s="506"/>
    </row>
    <row r="46" spans="1:18" s="379" customFormat="1" x14ac:dyDescent="0.25">
      <c r="D46" s="380"/>
      <c r="F46" s="141"/>
      <c r="G46" s="382"/>
      <c r="H46" s="383"/>
      <c r="K46" s="141"/>
      <c r="N46" s="506"/>
    </row>
    <row r="47" spans="1:18" s="379" customFormat="1" x14ac:dyDescent="0.25">
      <c r="D47" s="380"/>
      <c r="F47" s="141"/>
      <c r="G47" s="382"/>
      <c r="H47" s="383"/>
      <c r="K47" s="141"/>
      <c r="N47" s="506"/>
    </row>
    <row r="48" spans="1:18" x14ac:dyDescent="0.25">
      <c r="D48" s="67"/>
      <c r="E48"/>
      <c r="F48" s="62"/>
      <c r="G48" s="13"/>
      <c r="H48" s="96"/>
      <c r="I48"/>
      <c r="K48" s="62"/>
      <c r="L48"/>
      <c r="M48" s="62"/>
      <c r="O48"/>
    </row>
    <row r="49" spans="1:15" x14ac:dyDescent="0.25">
      <c r="A49" t="s">
        <v>351</v>
      </c>
      <c r="D49" s="67"/>
      <c r="E49" s="62"/>
      <c r="F49" s="62"/>
      <c r="G49" s="13"/>
      <c r="H49" s="96"/>
      <c r="I49" s="62"/>
      <c r="J49" s="62"/>
      <c r="K49" s="62"/>
      <c r="L49"/>
      <c r="O49"/>
    </row>
    <row r="50" spans="1:15" ht="17.25" customHeight="1" x14ac:dyDescent="0.25">
      <c r="D50" s="532" t="s">
        <v>375</v>
      </c>
      <c r="E50" s="62"/>
      <c r="F50" s="62"/>
      <c r="G50" s="13"/>
      <c r="H50" s="96"/>
      <c r="I50" s="62"/>
      <c r="J50" s="62"/>
      <c r="K50" s="62"/>
      <c r="L50"/>
      <c r="O50"/>
    </row>
    <row r="51" spans="1:15" s="61" customFormat="1" x14ac:dyDescent="0.25">
      <c r="A51" s="61" t="s">
        <v>368</v>
      </c>
      <c r="D51" s="61" t="s">
        <v>369</v>
      </c>
      <c r="E51" s="453"/>
      <c r="F51" s="453"/>
      <c r="G51" s="458"/>
      <c r="H51" s="459"/>
      <c r="I51" s="453"/>
      <c r="J51" s="453"/>
      <c r="K51" s="453"/>
    </row>
    <row r="52" spans="1:15" x14ac:dyDescent="0.25">
      <c r="A52" t="s">
        <v>374</v>
      </c>
      <c r="B52" s="61"/>
      <c r="D52" s="67"/>
      <c r="E52" s="62" t="s">
        <v>366</v>
      </c>
      <c r="F52" s="461">
        <f>F36</f>
        <v>280</v>
      </c>
      <c r="G52" s="13"/>
      <c r="H52" s="96"/>
      <c r="I52" s="62"/>
      <c r="J52" s="62"/>
      <c r="K52" s="62"/>
      <c r="L52"/>
      <c r="O52"/>
    </row>
    <row r="53" spans="1:15" x14ac:dyDescent="0.25">
      <c r="A53" s="368" t="s">
        <v>364</v>
      </c>
      <c r="B53" s="460">
        <f>N36</f>
        <v>90.27</v>
      </c>
      <c r="D53" s="67"/>
      <c r="E53" s="71" t="s">
        <v>360</v>
      </c>
      <c r="F53" s="71">
        <v>10</v>
      </c>
      <c r="G53" s="13"/>
      <c r="H53" s="96"/>
      <c r="I53" s="62"/>
      <c r="J53" s="62"/>
      <c r="K53" s="62"/>
      <c r="L53"/>
      <c r="O53"/>
    </row>
    <row r="54" spans="1:15" x14ac:dyDescent="0.25">
      <c r="D54" s="67"/>
      <c r="E54" s="62"/>
      <c r="F54" s="62">
        <f>+F53*F52</f>
        <v>2800</v>
      </c>
      <c r="G54" s="13" t="s">
        <v>367</v>
      </c>
      <c r="H54" s="96"/>
      <c r="I54" s="62"/>
      <c r="J54" s="62"/>
      <c r="K54" s="62"/>
      <c r="L54"/>
      <c r="O54"/>
    </row>
    <row r="55" spans="1:15" x14ac:dyDescent="0.25">
      <c r="D55" s="67"/>
      <c r="E55" s="453" t="s">
        <v>361</v>
      </c>
      <c r="F55" s="453">
        <f>ROUNDUP((F54/300),0)</f>
        <v>10</v>
      </c>
      <c r="G55" s="13"/>
      <c r="H55" s="96"/>
      <c r="I55" s="62"/>
      <c r="J55" s="62"/>
      <c r="K55" s="62"/>
      <c r="L55"/>
      <c r="O55"/>
    </row>
    <row r="56" spans="1:15" x14ac:dyDescent="0.25">
      <c r="D56" s="67"/>
      <c r="E56" s="62" t="s">
        <v>362</v>
      </c>
      <c r="F56" s="454">
        <f>+F55*100</f>
        <v>1000</v>
      </c>
      <c r="G56" s="13"/>
      <c r="H56" s="96"/>
      <c r="I56" s="62"/>
      <c r="J56" s="62"/>
      <c r="K56" s="62"/>
      <c r="L56"/>
      <c r="O56"/>
    </row>
    <row r="57" spans="1:15" x14ac:dyDescent="0.25">
      <c r="D57" s="67"/>
      <c r="E57" s="62"/>
      <c r="F57" s="62"/>
      <c r="G57" s="13"/>
      <c r="H57" s="96"/>
      <c r="I57" s="62"/>
      <c r="J57" s="62"/>
      <c r="K57" s="62"/>
      <c r="L57"/>
      <c r="O57"/>
    </row>
    <row r="58" spans="1:15" x14ac:dyDescent="0.25">
      <c r="D58" s="455"/>
      <c r="E58" s="456" t="s">
        <v>363</v>
      </c>
      <c r="F58" s="457">
        <f>+F56/10</f>
        <v>100</v>
      </c>
      <c r="G58" s="13"/>
      <c r="H58" s="96"/>
      <c r="I58" s="62"/>
      <c r="J58" s="62"/>
      <c r="K58" s="62"/>
      <c r="L58"/>
      <c r="O58"/>
    </row>
    <row r="59" spans="1:15" x14ac:dyDescent="0.25">
      <c r="N59" s="62"/>
      <c r="O59"/>
    </row>
    <row r="62" spans="1:15" s="379" customFormat="1" x14ac:dyDescent="0.25">
      <c r="D62" s="380"/>
      <c r="E62" s="141"/>
      <c r="F62" s="141"/>
      <c r="G62" s="382"/>
      <c r="H62" s="383"/>
      <c r="I62" s="141"/>
      <c r="J62" s="141"/>
      <c r="K62" s="141"/>
    </row>
    <row r="63" spans="1:15" s="379" customFormat="1" x14ac:dyDescent="0.25">
      <c r="D63" s="380"/>
      <c r="E63" s="141"/>
      <c r="F63" s="141"/>
      <c r="G63" s="382"/>
      <c r="H63" s="383"/>
      <c r="I63" s="141"/>
      <c r="J63" s="141"/>
      <c r="K63" s="141"/>
    </row>
    <row r="64" spans="1:15" s="379" customFormat="1" x14ac:dyDescent="0.25">
      <c r="D64" s="380"/>
      <c r="E64" s="141"/>
      <c r="F64" s="141"/>
      <c r="G64" s="382"/>
      <c r="H64" s="383"/>
      <c r="I64" s="141"/>
      <c r="J64" s="141"/>
      <c r="K64" s="141"/>
    </row>
    <row r="65" spans="1:15" x14ac:dyDescent="0.25">
      <c r="D65" s="67"/>
      <c r="E65" s="62"/>
      <c r="F65" s="62"/>
      <c r="G65" s="13"/>
      <c r="H65" s="96"/>
      <c r="I65" s="62"/>
      <c r="J65" s="62"/>
      <c r="K65" s="62"/>
      <c r="L65"/>
      <c r="O65"/>
    </row>
    <row r="66" spans="1:15" x14ac:dyDescent="0.25">
      <c r="D66" s="67"/>
      <c r="E66" s="62"/>
      <c r="F66" s="62"/>
      <c r="G66" s="13"/>
      <c r="H66" s="96"/>
      <c r="I66" s="62"/>
      <c r="J66" s="62"/>
      <c r="K66" s="62"/>
      <c r="L66"/>
      <c r="O66"/>
    </row>
    <row r="67" spans="1:15" x14ac:dyDescent="0.25">
      <c r="A67" t="s">
        <v>387</v>
      </c>
      <c r="D67" s="67"/>
      <c r="E67" s="62"/>
      <c r="F67" s="62"/>
      <c r="G67" t="s">
        <v>387</v>
      </c>
      <c r="H67"/>
      <c r="I67"/>
      <c r="J67" s="67"/>
      <c r="K67" s="62"/>
      <c r="L67"/>
      <c r="O67"/>
    </row>
    <row r="68" spans="1:15" x14ac:dyDescent="0.25">
      <c r="A68" t="s">
        <v>388</v>
      </c>
      <c r="D68" s="67"/>
      <c r="E68" s="62"/>
      <c r="F68" s="62"/>
      <c r="G68" s="64" t="s">
        <v>390</v>
      </c>
      <c r="H68"/>
      <c r="I68"/>
      <c r="J68" s="67"/>
      <c r="K68" s="62"/>
      <c r="L68"/>
      <c r="O68"/>
    </row>
    <row r="69" spans="1:15" x14ac:dyDescent="0.25">
      <c r="D69" s="67"/>
      <c r="E69" s="62"/>
      <c r="F69" s="62"/>
      <c r="G69"/>
      <c r="H69"/>
      <c r="I69"/>
      <c r="J69" s="67"/>
      <c r="K69" s="62"/>
      <c r="L69"/>
      <c r="O69"/>
    </row>
    <row r="70" spans="1:15" s="587" customFormat="1" x14ac:dyDescent="0.25">
      <c r="B70" s="587" t="s">
        <v>389</v>
      </c>
      <c r="C70" s="64" t="s">
        <v>113</v>
      </c>
      <c r="D70" s="593" t="s">
        <v>202</v>
      </c>
      <c r="E70" s="588"/>
      <c r="F70" s="588"/>
      <c r="H70" s="587" t="s">
        <v>389</v>
      </c>
      <c r="I70" s="64" t="s">
        <v>113</v>
      </c>
      <c r="J70" s="593" t="s">
        <v>202</v>
      </c>
      <c r="K70" s="588"/>
    </row>
    <row r="71" spans="1:15" s="587" customFormat="1" x14ac:dyDescent="0.25">
      <c r="A71" s="599">
        <v>0</v>
      </c>
      <c r="B71" s="66">
        <f>K36</f>
        <v>209</v>
      </c>
      <c r="C71" s="65">
        <f>J36</f>
        <v>118.73</v>
      </c>
      <c r="D71" s="603">
        <f>+B71-C71</f>
        <v>90.27</v>
      </c>
      <c r="E71" s="588"/>
      <c r="F71" s="588"/>
      <c r="G71" s="599">
        <v>0</v>
      </c>
      <c r="H71" s="602">
        <f>K36</f>
        <v>209</v>
      </c>
      <c r="I71" s="600">
        <f>J36</f>
        <v>118.73</v>
      </c>
      <c r="J71" s="601">
        <f>+H71-I71</f>
        <v>90.27</v>
      </c>
      <c r="K71" s="588"/>
    </row>
    <row r="72" spans="1:15" s="64" customFormat="1" x14ac:dyDescent="0.25">
      <c r="A72" s="596">
        <v>0.1</v>
      </c>
      <c r="B72" s="66">
        <f>0.9*B71</f>
        <v>188.1</v>
      </c>
      <c r="C72" s="65">
        <f>C71</f>
        <v>118.73</v>
      </c>
      <c r="D72" s="603">
        <f t="shared" ref="D72:D75" si="2">+B72-C72</f>
        <v>69.36999999999999</v>
      </c>
      <c r="E72" s="225"/>
      <c r="F72" s="225"/>
      <c r="G72" s="596">
        <v>0.1</v>
      </c>
      <c r="H72" s="587">
        <f>0.9*H71</f>
        <v>188.1</v>
      </c>
      <c r="I72" s="600">
        <f>I71</f>
        <v>118.73</v>
      </c>
      <c r="J72" s="601">
        <f t="shared" ref="J72:J75" si="3">+H72-I72</f>
        <v>69.36999999999999</v>
      </c>
      <c r="K72" s="225"/>
    </row>
    <row r="73" spans="1:15" s="507" customFormat="1" x14ac:dyDescent="0.25">
      <c r="A73" s="597">
        <v>0.15</v>
      </c>
      <c r="B73" s="66">
        <f>+B71*0.85</f>
        <v>177.65</v>
      </c>
      <c r="C73" s="65">
        <f t="shared" ref="C73:C75" si="4">C72</f>
        <v>118.73</v>
      </c>
      <c r="D73" s="603">
        <f t="shared" si="2"/>
        <v>58.92</v>
      </c>
      <c r="E73" s="498"/>
      <c r="F73" s="498"/>
      <c r="G73" s="597">
        <v>0.15</v>
      </c>
      <c r="H73" s="587">
        <f>+H71*0.85</f>
        <v>177.65</v>
      </c>
      <c r="I73" s="600">
        <f t="shared" ref="I73:I75" si="5">I72</f>
        <v>118.73</v>
      </c>
      <c r="J73" s="601">
        <f t="shared" si="3"/>
        <v>58.92</v>
      </c>
      <c r="K73" s="498"/>
    </row>
    <row r="74" spans="1:15" x14ac:dyDescent="0.25">
      <c r="A74" s="598">
        <v>0.2</v>
      </c>
      <c r="B74" s="66">
        <f>0.8*B71</f>
        <v>167.20000000000002</v>
      </c>
      <c r="C74" s="65">
        <f t="shared" si="4"/>
        <v>118.73</v>
      </c>
      <c r="D74" s="604">
        <f t="shared" si="2"/>
        <v>48.470000000000013</v>
      </c>
      <c r="E74" s="62"/>
      <c r="F74" s="62"/>
      <c r="G74" s="598">
        <v>0.2</v>
      </c>
      <c r="H74" s="587">
        <f>0.8*H71</f>
        <v>167.20000000000002</v>
      </c>
      <c r="I74" s="600">
        <f t="shared" si="5"/>
        <v>118.73</v>
      </c>
      <c r="J74" s="601">
        <f t="shared" si="3"/>
        <v>48.470000000000013</v>
      </c>
      <c r="K74" s="62"/>
      <c r="L74"/>
      <c r="O74"/>
    </row>
    <row r="75" spans="1:15" x14ac:dyDescent="0.25">
      <c r="A75" s="598">
        <v>0.25</v>
      </c>
      <c r="B75" s="66">
        <f>0.75*B71</f>
        <v>156.75</v>
      </c>
      <c r="C75" s="65">
        <f t="shared" si="4"/>
        <v>118.73</v>
      </c>
      <c r="D75" s="604">
        <f t="shared" si="2"/>
        <v>38.019999999999996</v>
      </c>
      <c r="E75" s="62"/>
      <c r="F75" s="62"/>
      <c r="G75" s="598">
        <v>0.25</v>
      </c>
      <c r="H75" s="587">
        <f>0.755*H71</f>
        <v>157.79499999999999</v>
      </c>
      <c r="I75" s="600">
        <f t="shared" si="5"/>
        <v>118.73</v>
      </c>
      <c r="J75" s="601">
        <f t="shared" si="3"/>
        <v>39.064999999999984</v>
      </c>
      <c r="K75" s="62"/>
      <c r="L75"/>
      <c r="O75"/>
    </row>
  </sheetData>
  <mergeCells count="1">
    <mergeCell ref="C4:D4"/>
  </mergeCells>
  <dataValidations count="1">
    <dataValidation type="list" allowBlank="1" showInputMessage="1" showErrorMessage="1" sqref="B32:B35 B17:B20" xr:uid="{B822709E-2A12-4ED2-B26C-60B4E99345CD}">
      <formula1>$N$1:$N$3</formula1>
    </dataValidation>
  </dataValidations>
  <pageMargins left="0.7" right="0.7" top="0.75" bottom="0.75" header="0.3" footer="0.3"/>
  <pageSetup scale="47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D4ED8-91B2-4595-8570-2EA10A41CEA8}">
  <sheetPr codeName="Sheet14">
    <pageSetUpPr fitToPage="1"/>
  </sheetPr>
  <dimension ref="A1:S95"/>
  <sheetViews>
    <sheetView topLeftCell="A50" workbookViewId="0">
      <selection activeCell="A62" sqref="A62"/>
    </sheetView>
  </sheetViews>
  <sheetFormatPr defaultColWidth="12.125" defaultRowHeight="15.75" x14ac:dyDescent="0.25"/>
  <cols>
    <col min="1" max="1" width="10" customWidth="1"/>
    <col min="5" max="5" width="12.125" style="67"/>
    <col min="7" max="7" width="12.125" style="95"/>
    <col min="8" max="8" width="12.125" style="13"/>
    <col min="9" max="9" width="12.125" style="96"/>
    <col min="12" max="12" width="12.125" style="62"/>
    <col min="14" max="14" width="12.125" style="62"/>
  </cols>
  <sheetData>
    <row r="1" spans="1:19" ht="30.75" customHeight="1" x14ac:dyDescent="0.55000000000000004">
      <c r="A1" s="234" t="s">
        <v>233</v>
      </c>
      <c r="B1" s="236"/>
      <c r="C1" s="236"/>
      <c r="D1" s="236"/>
      <c r="I1" s="117"/>
      <c r="J1" s="287"/>
      <c r="K1" s="287"/>
      <c r="L1" s="117"/>
      <c r="O1" s="154" t="s">
        <v>203</v>
      </c>
    </row>
    <row r="2" spans="1:19" s="98" customFormat="1" x14ac:dyDescent="0.25">
      <c r="A2" s="87"/>
      <c r="B2" s="200">
        <f>'Pep Costs'!B31</f>
        <v>50</v>
      </c>
      <c r="C2" s="87" t="s">
        <v>142</v>
      </c>
      <c r="D2" s="87"/>
      <c r="F2" s="113"/>
      <c r="I2" s="117"/>
      <c r="J2" s="429"/>
      <c r="K2" s="430"/>
      <c r="L2" s="471"/>
      <c r="M2" s="117"/>
      <c r="N2" s="119"/>
      <c r="O2" s="155" t="s">
        <v>187</v>
      </c>
      <c r="P2" s="117"/>
      <c r="Q2" s="117"/>
      <c r="R2" s="117"/>
      <c r="S2" s="117"/>
    </row>
    <row r="3" spans="1:19" s="98" customFormat="1" x14ac:dyDescent="0.25">
      <c r="A3" s="87"/>
      <c r="B3" s="170">
        <v>3.3</v>
      </c>
      <c r="C3" s="170" t="s">
        <v>185</v>
      </c>
      <c r="D3" s="87"/>
      <c r="I3" s="117"/>
      <c r="J3" s="117"/>
      <c r="K3" s="117"/>
      <c r="L3" s="152"/>
      <c r="M3" s="117"/>
      <c r="N3" s="119"/>
      <c r="O3" s="155" t="s">
        <v>206</v>
      </c>
      <c r="P3" s="117"/>
      <c r="Q3" s="117"/>
      <c r="R3" s="117"/>
      <c r="S3" s="117"/>
    </row>
    <row r="4" spans="1:19" s="98" customFormat="1" ht="30" customHeight="1" x14ac:dyDescent="0.4">
      <c r="A4" s="87"/>
      <c r="B4" s="142">
        <v>15</v>
      </c>
      <c r="C4" s="656" t="s">
        <v>230</v>
      </c>
      <c r="D4" s="665"/>
      <c r="F4" s="511" t="s">
        <v>349</v>
      </c>
      <c r="G4" s="512" t="s">
        <v>144</v>
      </c>
      <c r="I4" s="117"/>
      <c r="J4" s="158"/>
      <c r="K4" s="117"/>
      <c r="L4" s="152"/>
      <c r="M4" s="117"/>
      <c r="N4" s="119"/>
      <c r="O4" s="157"/>
      <c r="P4" s="117"/>
      <c r="Q4" s="117"/>
      <c r="R4" s="117"/>
      <c r="S4" s="117"/>
    </row>
    <row r="5" spans="1:19" s="98" customFormat="1" x14ac:dyDescent="0.25">
      <c r="A5" s="314"/>
      <c r="B5" s="87">
        <f>SUM(B2:B4)</f>
        <v>68.3</v>
      </c>
      <c r="C5" s="87"/>
      <c r="D5" s="87"/>
      <c r="F5" s="391">
        <v>100</v>
      </c>
      <c r="G5" s="207">
        <f>+F5+B5</f>
        <v>168.3</v>
      </c>
      <c r="I5" s="117"/>
      <c r="J5" s="158"/>
      <c r="K5" s="117"/>
      <c r="L5" s="152"/>
      <c r="M5" s="117"/>
      <c r="N5" s="119"/>
      <c r="P5" s="117"/>
      <c r="Q5" s="117"/>
      <c r="R5" s="117"/>
      <c r="S5" s="117"/>
    </row>
    <row r="6" spans="1:19" s="98" customFormat="1" x14ac:dyDescent="0.25">
      <c r="A6" s="87"/>
      <c r="B6" s="87"/>
      <c r="C6" s="87"/>
      <c r="D6" s="87"/>
      <c r="F6" s="393"/>
      <c r="G6" s="392"/>
      <c r="I6" s="117"/>
      <c r="J6" s="158"/>
      <c r="K6" s="117"/>
      <c r="L6" s="152"/>
      <c r="M6" s="153"/>
      <c r="N6" s="289"/>
      <c r="O6" s="117"/>
      <c r="P6" s="117"/>
      <c r="Q6" s="117"/>
      <c r="R6" s="117"/>
      <c r="S6" s="117"/>
    </row>
    <row r="7" spans="1:19" s="98" customFormat="1" x14ac:dyDescent="0.25">
      <c r="A7" s="225" t="s">
        <v>189</v>
      </c>
      <c r="B7" s="87">
        <f>+B5/300</f>
        <v>0.22766666666666666</v>
      </c>
      <c r="C7" s="87"/>
      <c r="D7" s="87"/>
      <c r="F7" s="394" t="s">
        <v>189</v>
      </c>
      <c r="G7" s="392">
        <f>+G5/300</f>
        <v>0.56100000000000005</v>
      </c>
      <c r="H7" s="397"/>
      <c r="I7" s="80"/>
      <c r="K7" s="152"/>
      <c r="L7" s="153"/>
      <c r="M7" s="117"/>
      <c r="N7" s="289"/>
      <c r="O7" s="117"/>
      <c r="P7" s="117"/>
      <c r="Q7" s="117"/>
      <c r="R7" s="117"/>
    </row>
    <row r="8" spans="1:19" s="117" customFormat="1" x14ac:dyDescent="0.25">
      <c r="A8" s="62"/>
      <c r="B8" s="128"/>
      <c r="F8" s="389"/>
      <c r="G8" s="388"/>
      <c r="H8" s="397"/>
      <c r="I8" s="158"/>
      <c r="K8" s="152"/>
      <c r="L8" s="153"/>
      <c r="N8" s="289"/>
    </row>
    <row r="9" spans="1:19" s="161" customFormat="1" x14ac:dyDescent="0.25">
      <c r="A9" s="141"/>
      <c r="B9" s="160"/>
      <c r="D9" s="307"/>
      <c r="E9" s="238"/>
      <c r="F9" s="239"/>
      <c r="H9" s="164"/>
      <c r="J9" s="165"/>
      <c r="K9" s="166"/>
      <c r="M9" s="401"/>
    </row>
    <row r="10" spans="1:19" s="161" customFormat="1" x14ac:dyDescent="0.25">
      <c r="A10" s="141"/>
      <c r="B10" s="160"/>
      <c r="D10" s="307"/>
      <c r="E10" s="238"/>
      <c r="F10" s="239"/>
      <c r="H10" s="164"/>
      <c r="J10" s="165"/>
      <c r="K10" s="166"/>
      <c r="M10" s="401"/>
    </row>
    <row r="11" spans="1:19" s="161" customFormat="1" x14ac:dyDescent="0.25">
      <c r="A11" s="141"/>
      <c r="B11" s="160"/>
      <c r="D11" s="307"/>
      <c r="E11" s="238"/>
      <c r="F11" s="239"/>
      <c r="H11" s="164"/>
      <c r="J11" s="165"/>
      <c r="K11" s="166"/>
      <c r="M11" s="401"/>
    </row>
    <row r="12" spans="1:19" s="98" customFormat="1" x14ac:dyDescent="0.25">
      <c r="A12" s="15"/>
      <c r="B12" s="87"/>
      <c r="C12" s="80"/>
      <c r="D12" s="115"/>
      <c r="E12" s="116"/>
      <c r="G12" s="117"/>
      <c r="H12" s="80"/>
      <c r="J12" s="152"/>
      <c r="K12" s="153"/>
      <c r="L12" s="117"/>
      <c r="M12" s="289"/>
      <c r="N12" s="117"/>
      <c r="O12" s="117"/>
      <c r="P12" s="117"/>
      <c r="Q12" s="117"/>
    </row>
    <row r="13" spans="1:19" s="98" customFormat="1" x14ac:dyDescent="0.25">
      <c r="A13" s="168" t="s">
        <v>218</v>
      </c>
      <c r="B13" s="87"/>
      <c r="C13" s="80"/>
      <c r="D13" s="115"/>
      <c r="E13" s="116"/>
      <c r="G13" s="117"/>
      <c r="H13" s="80"/>
      <c r="K13" s="114" t="s">
        <v>144</v>
      </c>
      <c r="L13" s="117"/>
      <c r="M13" s="289"/>
      <c r="N13" s="117"/>
      <c r="O13" s="117"/>
      <c r="P13" s="117"/>
      <c r="Q13" s="117"/>
    </row>
    <row r="14" spans="1:19" s="98" customFormat="1" x14ac:dyDescent="0.25">
      <c r="A14" s="15"/>
      <c r="B14" s="121"/>
      <c r="C14" s="80"/>
      <c r="D14" s="115"/>
      <c r="E14" s="116"/>
      <c r="G14" s="117"/>
      <c r="H14" s="261">
        <f>ROUNDUP(F20,0)</f>
        <v>114</v>
      </c>
      <c r="I14" s="262" t="s">
        <v>201</v>
      </c>
      <c r="J14" s="87">
        <f>+B7*F20</f>
        <v>25.953999999999997</v>
      </c>
      <c r="K14" s="264">
        <f>+F20*G7</f>
        <v>63.954000000000008</v>
      </c>
      <c r="L14" s="117"/>
      <c r="M14" s="289"/>
      <c r="N14" s="117"/>
      <c r="O14" s="117"/>
      <c r="P14" s="117"/>
      <c r="Q14" s="117"/>
    </row>
    <row r="15" spans="1:19" s="125" customFormat="1" ht="31.5" x14ac:dyDescent="0.25">
      <c r="A15" s="182"/>
      <c r="B15" s="183" t="s">
        <v>199</v>
      </c>
      <c r="C15" s="184" t="s">
        <v>196</v>
      </c>
      <c r="D15" s="183" t="s">
        <v>197</v>
      </c>
      <c r="E15" s="169" t="s">
        <v>198</v>
      </c>
      <c r="F15" s="185" t="s">
        <v>188</v>
      </c>
      <c r="G15" s="124"/>
      <c r="H15" s="265">
        <v>1</v>
      </c>
      <c r="I15" s="309" t="s">
        <v>177</v>
      </c>
      <c r="J15" s="310">
        <f>+H15*45</f>
        <v>45</v>
      </c>
      <c r="K15" s="311">
        <f>+H15*85</f>
        <v>85</v>
      </c>
      <c r="L15" s="124"/>
      <c r="M15" s="432"/>
      <c r="N15" s="124"/>
      <c r="O15" s="124"/>
      <c r="P15" s="124"/>
      <c r="Q15" s="124"/>
    </row>
    <row r="16" spans="1:19" s="81" customFormat="1" x14ac:dyDescent="0.25">
      <c r="A16" s="306" t="s">
        <v>219</v>
      </c>
      <c r="B16" s="251" t="s">
        <v>187</v>
      </c>
      <c r="C16" s="252">
        <v>200</v>
      </c>
      <c r="D16" s="251">
        <v>6</v>
      </c>
      <c r="E16" s="254">
        <f>IF(B16="Daily",7, IF(B16="Weekly",1, IF(B16="Every Other Day",4,"")))</f>
        <v>4</v>
      </c>
      <c r="F16" s="255">
        <f>+D16*E16</f>
        <v>24</v>
      </c>
      <c r="G16" s="83"/>
      <c r="H16" s="266">
        <f>IF(E20&gt;=25, E20+2, E20+1)</f>
        <v>20</v>
      </c>
      <c r="I16" s="305" t="s">
        <v>217</v>
      </c>
      <c r="J16" s="87"/>
      <c r="K16" s="263"/>
      <c r="L16" s="83"/>
      <c r="M16" s="492"/>
      <c r="N16" s="83"/>
      <c r="O16" s="83"/>
      <c r="P16" s="83"/>
      <c r="Q16" s="83"/>
    </row>
    <row r="17" spans="1:17" s="81" customFormat="1" x14ac:dyDescent="0.25">
      <c r="A17" s="306" t="s">
        <v>219</v>
      </c>
      <c r="B17" s="251" t="s">
        <v>203</v>
      </c>
      <c r="C17" s="285">
        <v>200</v>
      </c>
      <c r="D17" s="286">
        <v>6</v>
      </c>
      <c r="E17" s="256">
        <f>IF(B17="Daily",7, IF(B17="Weekly",1, IF(B17="Every Other Day",4,"")))</f>
        <v>7</v>
      </c>
      <c r="F17" s="255">
        <f t="shared" ref="F17:F19" si="0">+D17*E17</f>
        <v>42</v>
      </c>
      <c r="G17" s="83"/>
      <c r="H17" s="266">
        <f>ROUNDUP(F21,0)</f>
        <v>1</v>
      </c>
      <c r="I17" s="305" t="s">
        <v>190</v>
      </c>
      <c r="J17" s="87"/>
      <c r="K17" s="263"/>
      <c r="L17" s="83"/>
      <c r="M17" s="492"/>
      <c r="N17" s="83"/>
      <c r="O17" s="83"/>
      <c r="P17" s="83"/>
      <c r="Q17" s="83"/>
    </row>
    <row r="18" spans="1:17" s="81" customFormat="1" x14ac:dyDescent="0.25">
      <c r="A18" s="306" t="s">
        <v>219</v>
      </c>
      <c r="B18" s="251" t="s">
        <v>206</v>
      </c>
      <c r="C18" s="285">
        <v>200</v>
      </c>
      <c r="D18" s="286">
        <v>6</v>
      </c>
      <c r="E18" s="256">
        <f>IF(B18="Daily",7, IF(B18="Weekly",1, IF(B18="Every Other Day",4,"")))</f>
        <v>1</v>
      </c>
      <c r="F18" s="255">
        <f t="shared" si="0"/>
        <v>6</v>
      </c>
      <c r="G18" s="83"/>
      <c r="H18" s="266">
        <f>H16</f>
        <v>20</v>
      </c>
      <c r="I18" s="305" t="s">
        <v>200</v>
      </c>
      <c r="J18" s="87"/>
      <c r="K18" s="263"/>
      <c r="L18" s="83"/>
      <c r="M18" s="492"/>
      <c r="N18" s="83"/>
      <c r="O18" s="83"/>
      <c r="P18" s="83"/>
      <c r="Q18" s="83"/>
    </row>
    <row r="19" spans="1:17" s="81" customFormat="1" x14ac:dyDescent="0.25">
      <c r="A19" s="306" t="s">
        <v>219</v>
      </c>
      <c r="B19" s="257" t="s">
        <v>203</v>
      </c>
      <c r="C19" s="258">
        <v>200</v>
      </c>
      <c r="D19" s="257">
        <v>6</v>
      </c>
      <c r="E19" s="259">
        <f>IF(B19="Daily",7, IF(B19="Weekly",1, IF(B19="Every Other Day",4,"")))</f>
        <v>7</v>
      </c>
      <c r="F19" s="260">
        <f t="shared" si="0"/>
        <v>42</v>
      </c>
      <c r="G19" s="83"/>
      <c r="H19" s="252">
        <v>0</v>
      </c>
      <c r="I19" s="304" t="s">
        <v>192</v>
      </c>
      <c r="J19" s="142">
        <f>H19*3.65</f>
        <v>0</v>
      </c>
      <c r="K19" s="267"/>
      <c r="L19" s="83"/>
      <c r="M19" s="492"/>
      <c r="N19" s="83"/>
      <c r="O19" s="83"/>
      <c r="P19" s="83"/>
      <c r="Q19" s="83"/>
    </row>
    <row r="20" spans="1:17" s="81" customFormat="1" x14ac:dyDescent="0.25">
      <c r="A20" s="88"/>
      <c r="B20" s="79"/>
      <c r="C20" s="80"/>
      <c r="D20" s="82"/>
      <c r="E20" s="167">
        <f>SUM(E16:E19)</f>
        <v>19</v>
      </c>
      <c r="F20" s="279">
        <f>SUM(F16:F19)</f>
        <v>114</v>
      </c>
      <c r="G20" s="83"/>
      <c r="H20" s="80"/>
      <c r="J20" s="128">
        <f>SUM(J14:J19)</f>
        <v>70.953999999999994</v>
      </c>
      <c r="K20" s="269">
        <f>ROUNDUP(SUM(K14:K19),0)</f>
        <v>149</v>
      </c>
      <c r="L20" s="83"/>
      <c r="M20" s="433" t="s">
        <v>202</v>
      </c>
      <c r="N20" s="428">
        <f>+K20-J20</f>
        <v>78.046000000000006</v>
      </c>
      <c r="O20" s="83"/>
      <c r="P20" s="83"/>
      <c r="Q20" s="83"/>
    </row>
    <row r="21" spans="1:17" s="81" customFormat="1" x14ac:dyDescent="0.25">
      <c r="A21" s="88"/>
      <c r="B21" s="79"/>
      <c r="C21" s="80"/>
      <c r="D21" s="82"/>
      <c r="E21" s="89" t="s">
        <v>204</v>
      </c>
      <c r="F21" s="110">
        <f>+F20/300</f>
        <v>0.38</v>
      </c>
      <c r="G21" s="83"/>
      <c r="H21" s="80"/>
      <c r="I21" s="131" t="s">
        <v>189</v>
      </c>
      <c r="J21" s="113">
        <f>+J20/H14</f>
        <v>0.62240350877192974</v>
      </c>
      <c r="K21" s="112">
        <f>+K20/H14</f>
        <v>1.3070175438596492</v>
      </c>
      <c r="L21" s="83"/>
      <c r="M21" s="492"/>
      <c r="N21" s="83"/>
      <c r="O21" s="83"/>
      <c r="P21" s="83"/>
      <c r="Q21" s="83"/>
    </row>
    <row r="22" spans="1:17" s="81" customFormat="1" x14ac:dyDescent="0.25">
      <c r="A22" s="88"/>
      <c r="B22" s="79"/>
      <c r="C22" s="80"/>
      <c r="D22" s="82"/>
      <c r="E22" s="109"/>
      <c r="G22" s="83"/>
      <c r="H22" s="80"/>
      <c r="L22" s="83"/>
      <c r="M22" s="492"/>
      <c r="N22" s="83"/>
      <c r="O22" s="83"/>
      <c r="P22" s="83"/>
      <c r="Q22" s="83"/>
    </row>
    <row r="23" spans="1:17" s="161" customFormat="1" x14ac:dyDescent="0.25">
      <c r="A23" s="141"/>
      <c r="B23" s="160"/>
      <c r="D23" s="307"/>
      <c r="E23" s="238"/>
      <c r="F23" s="239"/>
      <c r="H23" s="164"/>
      <c r="J23" s="165"/>
      <c r="K23" s="166"/>
      <c r="M23" s="401"/>
    </row>
    <row r="24" spans="1:17" s="161" customFormat="1" x14ac:dyDescent="0.25">
      <c r="A24" s="159"/>
      <c r="B24" s="160"/>
      <c r="D24" s="162"/>
      <c r="E24" s="163"/>
      <c r="H24" s="164"/>
      <c r="J24" s="165"/>
      <c r="K24" s="166"/>
      <c r="M24" s="401"/>
    </row>
    <row r="25" spans="1:17" s="98" customFormat="1" x14ac:dyDescent="0.25">
      <c r="A25" s="15"/>
      <c r="B25" s="87"/>
      <c r="C25" s="80"/>
      <c r="D25" s="115"/>
      <c r="E25" s="116"/>
      <c r="G25" s="117"/>
      <c r="H25" s="80"/>
      <c r="J25" s="152"/>
      <c r="K25" s="153"/>
      <c r="L25" s="117"/>
      <c r="M25" s="289"/>
      <c r="N25" s="117"/>
      <c r="O25" s="117"/>
      <c r="P25" s="117"/>
      <c r="Q25" s="117"/>
    </row>
    <row r="26" spans="1:17" s="98" customFormat="1" x14ac:dyDescent="0.25">
      <c r="A26" s="15"/>
      <c r="B26" s="87"/>
      <c r="C26" s="80"/>
      <c r="D26" s="115"/>
      <c r="E26" s="116"/>
      <c r="G26" s="117"/>
      <c r="H26" s="80"/>
      <c r="K26" s="114" t="s">
        <v>144</v>
      </c>
      <c r="L26" s="117"/>
      <c r="M26" s="289"/>
      <c r="N26" s="117"/>
      <c r="O26" s="117"/>
      <c r="P26" s="117"/>
      <c r="Q26" s="117"/>
    </row>
    <row r="27" spans="1:17" s="98" customFormat="1" x14ac:dyDescent="0.25">
      <c r="A27" s="15"/>
      <c r="B27" s="121"/>
      <c r="C27" s="80"/>
      <c r="D27" s="115"/>
      <c r="E27" s="116"/>
      <c r="G27" s="117"/>
      <c r="H27" s="118">
        <f>ROUNDUP(F33,0)</f>
        <v>126</v>
      </c>
      <c r="I27" s="119" t="s">
        <v>201</v>
      </c>
      <c r="J27" s="87">
        <f>F33*B7</f>
        <v>28.686</v>
      </c>
      <c r="K27" s="120">
        <f>+F33*G7</f>
        <v>70.686000000000007</v>
      </c>
      <c r="L27" s="117"/>
      <c r="M27" s="289"/>
      <c r="N27" s="117"/>
      <c r="O27" s="117"/>
      <c r="P27" s="117"/>
      <c r="Q27" s="117"/>
    </row>
    <row r="28" spans="1:17" s="125" customFormat="1" ht="31.5" x14ac:dyDescent="0.25">
      <c r="A28" s="653" t="s">
        <v>266</v>
      </c>
      <c r="B28" s="148" t="s">
        <v>199</v>
      </c>
      <c r="C28" s="149" t="s">
        <v>196</v>
      </c>
      <c r="D28" s="148" t="s">
        <v>197</v>
      </c>
      <c r="E28" s="122" t="s">
        <v>198</v>
      </c>
      <c r="F28" s="150" t="s">
        <v>188</v>
      </c>
      <c r="G28" s="124"/>
      <c r="H28" s="302">
        <v>0</v>
      </c>
      <c r="I28" s="62" t="s">
        <v>177</v>
      </c>
      <c r="J28" s="87">
        <f>+H28*45</f>
        <v>0</v>
      </c>
      <c r="K28" s="93">
        <f>H28*85</f>
        <v>0</v>
      </c>
      <c r="L28" s="124"/>
      <c r="M28" s="432"/>
      <c r="N28" s="124"/>
      <c r="O28" s="124"/>
      <c r="P28" s="124"/>
      <c r="Q28" s="124"/>
    </row>
    <row r="29" spans="1:17" s="81" customFormat="1" x14ac:dyDescent="0.25">
      <c r="A29" s="78" t="s">
        <v>108</v>
      </c>
      <c r="B29" s="199" t="s">
        <v>203</v>
      </c>
      <c r="C29" s="192">
        <v>100</v>
      </c>
      <c r="D29" s="199">
        <v>3</v>
      </c>
      <c r="E29" s="145">
        <f>IF(B29="Daily",7, IF(B29="Weekly",1, IF(B29="Every Other Day",4,"")))</f>
        <v>7</v>
      </c>
      <c r="F29" s="146">
        <f>+D29*E29</f>
        <v>21</v>
      </c>
      <c r="G29" s="83"/>
      <c r="H29" s="80">
        <f>IF(E33&gt;=25, E33+2, E33+1)</f>
        <v>30</v>
      </c>
      <c r="I29" s="62" t="s">
        <v>217</v>
      </c>
      <c r="J29" s="87"/>
      <c r="K29" s="93"/>
      <c r="L29" s="83"/>
      <c r="M29" s="522"/>
      <c r="N29" s="503"/>
      <c r="O29" s="83"/>
      <c r="P29" s="83"/>
      <c r="Q29" s="83"/>
    </row>
    <row r="30" spans="1:17" s="81" customFormat="1" x14ac:dyDescent="0.25">
      <c r="A30" s="78" t="s">
        <v>109</v>
      </c>
      <c r="B30" s="199" t="s">
        <v>203</v>
      </c>
      <c r="C30" s="192">
        <v>100</v>
      </c>
      <c r="D30" s="199">
        <v>3</v>
      </c>
      <c r="E30" s="147">
        <f>IF(B30="Daily",7, IF(B30="Weekly",1, IF(B30="Every Other Day",4,"")))</f>
        <v>7</v>
      </c>
      <c r="F30" s="146">
        <f t="shared" ref="F30:F32" si="1">+D30*E30</f>
        <v>21</v>
      </c>
      <c r="G30" s="83"/>
      <c r="H30" s="80">
        <f>ROUNDUP(F34,0)</f>
        <v>1</v>
      </c>
      <c r="I30" s="62" t="s">
        <v>190</v>
      </c>
      <c r="J30" s="87"/>
      <c r="K30" s="93"/>
      <c r="L30" s="83"/>
      <c r="M30" s="522"/>
      <c r="N30" s="503"/>
      <c r="O30" s="83"/>
      <c r="P30" s="83"/>
      <c r="Q30" s="83"/>
    </row>
    <row r="31" spans="1:17" s="81" customFormat="1" x14ac:dyDescent="0.25">
      <c r="A31" s="78" t="s">
        <v>110</v>
      </c>
      <c r="B31" s="199" t="s">
        <v>203</v>
      </c>
      <c r="C31" s="192">
        <v>200</v>
      </c>
      <c r="D31" s="199">
        <v>6</v>
      </c>
      <c r="E31" s="147">
        <f>IF(B31="Daily",7, IF(B31="Weekly",1, IF(B31="Every Other Day",4,"")))</f>
        <v>7</v>
      </c>
      <c r="F31" s="146">
        <f t="shared" si="1"/>
        <v>42</v>
      </c>
      <c r="G31" s="83"/>
      <c r="H31" s="80">
        <f>H29</f>
        <v>30</v>
      </c>
      <c r="I31" s="62" t="s">
        <v>200</v>
      </c>
      <c r="J31" s="87"/>
      <c r="K31" s="93"/>
      <c r="L31" s="83"/>
      <c r="M31" s="522"/>
      <c r="N31" s="503"/>
      <c r="O31" s="83"/>
      <c r="P31" s="83"/>
      <c r="Q31" s="83"/>
    </row>
    <row r="32" spans="1:17" s="81" customFormat="1" x14ac:dyDescent="0.25">
      <c r="A32" s="100" t="s">
        <v>141</v>
      </c>
      <c r="B32" s="101" t="s">
        <v>203</v>
      </c>
      <c r="C32" s="102">
        <v>200</v>
      </c>
      <c r="D32" s="101">
        <v>6</v>
      </c>
      <c r="E32" s="144">
        <f>IF(B32="Daily",7, IF(B32="Weekly",1, IF(B32="Every Other Day",4,"")))</f>
        <v>7</v>
      </c>
      <c r="F32" s="103">
        <f t="shared" si="1"/>
        <v>42</v>
      </c>
      <c r="G32" s="83"/>
      <c r="H32" s="303">
        <v>1</v>
      </c>
      <c r="I32" s="71" t="s">
        <v>192</v>
      </c>
      <c r="J32" s="142">
        <f>H32*3.65</f>
        <v>3.65</v>
      </c>
      <c r="K32" s="143"/>
      <c r="L32" s="83"/>
      <c r="M32" s="522"/>
      <c r="N32" s="503"/>
      <c r="O32" s="83"/>
      <c r="P32" s="83"/>
      <c r="Q32" s="83"/>
    </row>
    <row r="33" spans="1:17" s="81" customFormat="1" x14ac:dyDescent="0.25">
      <c r="A33" s="88"/>
      <c r="B33" s="79"/>
      <c r="C33" s="80"/>
      <c r="D33" s="82"/>
      <c r="E33" s="167">
        <f>SUM(E29:E32)</f>
        <v>28</v>
      </c>
      <c r="F33" s="127">
        <f>SUM(F29:F32)</f>
        <v>126</v>
      </c>
      <c r="G33" s="83"/>
      <c r="H33" s="80"/>
      <c r="J33" s="128">
        <f>SUM(J27:J32)</f>
        <v>32.335999999999999</v>
      </c>
      <c r="K33" s="129">
        <f>ROUNDUP(SUM(K27:K32),0)</f>
        <v>71</v>
      </c>
      <c r="L33" s="83"/>
      <c r="M33" s="433" t="s">
        <v>202</v>
      </c>
      <c r="N33" s="428">
        <f>+K33-J33</f>
        <v>38.664000000000001</v>
      </c>
      <c r="O33" s="83"/>
      <c r="P33" s="83"/>
      <c r="Q33" s="83"/>
    </row>
    <row r="34" spans="1:17" s="81" customFormat="1" x14ac:dyDescent="0.25">
      <c r="A34" s="88"/>
      <c r="B34" s="79"/>
      <c r="C34" s="80"/>
      <c r="D34" s="82"/>
      <c r="E34" s="441" t="s">
        <v>204</v>
      </c>
      <c r="F34" s="484">
        <f>+F33/300</f>
        <v>0.42</v>
      </c>
      <c r="G34" s="83"/>
      <c r="H34" s="80"/>
      <c r="I34" s="131" t="s">
        <v>189</v>
      </c>
      <c r="J34" s="113">
        <f>+J33/H27</f>
        <v>0.2566349206349206</v>
      </c>
      <c r="K34" s="112">
        <f>+K33/H27</f>
        <v>0.56349206349206349</v>
      </c>
      <c r="L34" s="83"/>
      <c r="M34" s="522"/>
      <c r="N34" s="503"/>
      <c r="O34" s="83"/>
      <c r="P34" s="83"/>
      <c r="Q34" s="83"/>
    </row>
    <row r="35" spans="1:17" s="81" customFormat="1" x14ac:dyDescent="0.25">
      <c r="A35" s="88"/>
      <c r="B35" s="79"/>
      <c r="C35" s="80"/>
      <c r="D35" s="82"/>
      <c r="E35" s="109"/>
      <c r="G35" s="83"/>
      <c r="H35" s="80"/>
      <c r="I35" s="131"/>
      <c r="J35" s="131"/>
      <c r="K35" s="131"/>
      <c r="L35" s="83"/>
      <c r="M35" s="522"/>
      <c r="N35" s="503"/>
      <c r="O35" s="83"/>
      <c r="P35" s="83"/>
      <c r="Q35" s="83"/>
    </row>
    <row r="36" spans="1:17" s="107" customFormat="1" x14ac:dyDescent="0.25">
      <c r="A36" s="104"/>
      <c r="B36" s="105"/>
      <c r="C36" s="106"/>
      <c r="D36" s="108"/>
      <c r="E36" s="151"/>
      <c r="H36" s="106"/>
      <c r="M36" s="529"/>
      <c r="N36" s="504"/>
    </row>
    <row r="37" spans="1:17" s="98" customFormat="1" x14ac:dyDescent="0.25">
      <c r="A37" s="15"/>
      <c r="B37" s="87"/>
      <c r="C37" s="80"/>
      <c r="D37" s="115"/>
      <c r="E37" s="116"/>
      <c r="G37" s="117"/>
      <c r="H37" s="80"/>
      <c r="J37" s="152"/>
      <c r="K37" s="153"/>
      <c r="L37" s="117"/>
      <c r="M37" s="428"/>
      <c r="N37" s="500"/>
      <c r="O37" s="117"/>
      <c r="P37" s="117"/>
      <c r="Q37" s="117"/>
    </row>
    <row r="38" spans="1:17" s="98" customFormat="1" x14ac:dyDescent="0.25">
      <c r="A38" s="15"/>
      <c r="B38" s="87"/>
      <c r="C38" s="80"/>
      <c r="D38" s="115"/>
      <c r="E38" s="116"/>
      <c r="G38" s="117"/>
      <c r="H38" s="80"/>
      <c r="K38" s="114" t="s">
        <v>144</v>
      </c>
      <c r="L38" s="117"/>
      <c r="M38" s="428"/>
      <c r="N38" s="500"/>
      <c r="O38" s="117"/>
      <c r="P38" s="117"/>
      <c r="Q38" s="117"/>
    </row>
    <row r="39" spans="1:17" s="98" customFormat="1" x14ac:dyDescent="0.25">
      <c r="A39" s="15"/>
      <c r="B39" s="121"/>
      <c r="C39" s="80"/>
      <c r="D39" s="115"/>
      <c r="E39" s="116"/>
      <c r="G39" s="117"/>
      <c r="H39" s="118">
        <f>ROUNDUP(F45,0)</f>
        <v>168</v>
      </c>
      <c r="I39" s="119" t="s">
        <v>201</v>
      </c>
      <c r="J39" s="87">
        <f>+B7*F45</f>
        <v>38.247999999999998</v>
      </c>
      <c r="K39" s="120">
        <f>+F45*G7</f>
        <v>94.248000000000005</v>
      </c>
      <c r="L39" s="117"/>
      <c r="M39" s="428"/>
      <c r="N39" s="500"/>
      <c r="O39" s="117"/>
      <c r="P39" s="117"/>
      <c r="Q39" s="117"/>
    </row>
    <row r="40" spans="1:17" s="125" customFormat="1" ht="31.5" x14ac:dyDescent="0.25">
      <c r="A40" s="653" t="s">
        <v>268</v>
      </c>
      <c r="B40" s="148" t="s">
        <v>199</v>
      </c>
      <c r="C40" s="149" t="s">
        <v>196</v>
      </c>
      <c r="D40" s="148" t="s">
        <v>197</v>
      </c>
      <c r="E40" s="122" t="s">
        <v>198</v>
      </c>
      <c r="F40" s="150" t="s">
        <v>188</v>
      </c>
      <c r="G40" s="124"/>
      <c r="H40" s="302">
        <v>0</v>
      </c>
      <c r="I40" s="62" t="s">
        <v>177</v>
      </c>
      <c r="J40" s="87">
        <f>+H40*45</f>
        <v>0</v>
      </c>
      <c r="K40" s="93">
        <f>+H40*85</f>
        <v>0</v>
      </c>
      <c r="L40" s="124"/>
      <c r="M40" s="526"/>
      <c r="N40" s="502"/>
      <c r="O40" s="124"/>
      <c r="P40" s="124"/>
      <c r="Q40" s="124"/>
    </row>
    <row r="41" spans="1:17" s="81" customFormat="1" x14ac:dyDescent="0.25">
      <c r="A41" s="78" t="s">
        <v>207</v>
      </c>
      <c r="B41" s="199" t="s">
        <v>203</v>
      </c>
      <c r="C41" s="192">
        <v>200</v>
      </c>
      <c r="D41" s="199">
        <v>6</v>
      </c>
      <c r="E41" s="145">
        <f>IF(B41="Daily",7, IF(B41="Weekly",1, IF(B41="Every Other Day",4,"")))</f>
        <v>7</v>
      </c>
      <c r="F41" s="146">
        <f>+D41*E41</f>
        <v>42</v>
      </c>
      <c r="G41" s="83"/>
      <c r="H41" s="80">
        <f>IF(E45&gt;=25, E45+2, E45+1)</f>
        <v>30</v>
      </c>
      <c r="I41" s="62" t="s">
        <v>217</v>
      </c>
      <c r="J41" s="87"/>
      <c r="K41" s="93"/>
      <c r="L41" s="83"/>
      <c r="M41" s="522"/>
      <c r="N41" s="503"/>
      <c r="O41" s="83"/>
      <c r="P41" s="83"/>
      <c r="Q41" s="83"/>
    </row>
    <row r="42" spans="1:17" s="81" customFormat="1" x14ac:dyDescent="0.25">
      <c r="A42" s="78" t="s">
        <v>208</v>
      </c>
      <c r="B42" s="199" t="s">
        <v>203</v>
      </c>
      <c r="C42" s="315">
        <v>200</v>
      </c>
      <c r="D42" s="316">
        <v>6</v>
      </c>
      <c r="E42" s="147">
        <f>IF(B42="Daily",7, IF(B42="Weekly",1, IF(B42="Every Other Day",4,"")))</f>
        <v>7</v>
      </c>
      <c r="F42" s="146">
        <f t="shared" ref="F42:F44" si="2">+D42*E42</f>
        <v>42</v>
      </c>
      <c r="G42" s="83"/>
      <c r="H42" s="80">
        <f>ROUNDUP(F46,0)</f>
        <v>1</v>
      </c>
      <c r="I42" s="62" t="s">
        <v>190</v>
      </c>
      <c r="J42" s="87"/>
      <c r="K42" s="93"/>
      <c r="L42" s="83"/>
      <c r="M42" s="522"/>
      <c r="N42" s="503"/>
      <c r="O42" s="83"/>
      <c r="P42" s="83"/>
      <c r="Q42" s="83"/>
    </row>
    <row r="43" spans="1:17" s="81" customFormat="1" x14ac:dyDescent="0.25">
      <c r="A43" s="78" t="s">
        <v>209</v>
      </c>
      <c r="B43" s="199" t="s">
        <v>203</v>
      </c>
      <c r="C43" s="315">
        <v>200</v>
      </c>
      <c r="D43" s="316">
        <v>6</v>
      </c>
      <c r="E43" s="147">
        <f>IF(B43="Daily",7, IF(B43="Weekly",1, IF(B43="Every Other Day",4,"")))</f>
        <v>7</v>
      </c>
      <c r="F43" s="146">
        <f t="shared" si="2"/>
        <v>42</v>
      </c>
      <c r="G43" s="83"/>
      <c r="H43" s="80">
        <f>H41</f>
        <v>30</v>
      </c>
      <c r="I43" s="62" t="s">
        <v>200</v>
      </c>
      <c r="J43" s="87"/>
      <c r="K43" s="93"/>
      <c r="L43" s="83"/>
      <c r="M43" s="522"/>
      <c r="N43" s="503"/>
      <c r="O43" s="83"/>
      <c r="P43" s="83"/>
      <c r="Q43" s="83"/>
    </row>
    <row r="44" spans="1:17" s="81" customFormat="1" x14ac:dyDescent="0.25">
      <c r="A44" s="100" t="s">
        <v>210</v>
      </c>
      <c r="B44" s="101" t="s">
        <v>203</v>
      </c>
      <c r="C44" s="102">
        <v>200</v>
      </c>
      <c r="D44" s="101">
        <v>6</v>
      </c>
      <c r="E44" s="144">
        <f>IF(B44="Daily",7, IF(B44="Weekly",1, IF(B44="Every Other Day",4,"")))</f>
        <v>7</v>
      </c>
      <c r="F44" s="103">
        <f t="shared" si="2"/>
        <v>42</v>
      </c>
      <c r="G44" s="83"/>
      <c r="H44" s="303">
        <v>0</v>
      </c>
      <c r="I44" s="71" t="s">
        <v>192</v>
      </c>
      <c r="J44" s="142">
        <f>H44*3.65</f>
        <v>0</v>
      </c>
      <c r="K44" s="143"/>
      <c r="L44" s="83"/>
      <c r="M44" s="522"/>
      <c r="N44" s="503"/>
      <c r="O44" s="83"/>
      <c r="P44" s="83"/>
      <c r="Q44" s="83"/>
    </row>
    <row r="45" spans="1:17" s="81" customFormat="1" x14ac:dyDescent="0.25">
      <c r="A45" s="88"/>
      <c r="B45" s="79"/>
      <c r="C45" s="80"/>
      <c r="D45" s="82"/>
      <c r="E45" s="167">
        <f>SUM(E41:E44)</f>
        <v>28</v>
      </c>
      <c r="F45" s="127">
        <f>SUM(F41:F44)</f>
        <v>168</v>
      </c>
      <c r="G45" s="83"/>
      <c r="H45" s="80"/>
      <c r="J45" s="128">
        <f>SUM(J39:J44)</f>
        <v>38.247999999999998</v>
      </c>
      <c r="K45" s="129">
        <f>ROUNDUP(SUM(K39:K44),0)</f>
        <v>95</v>
      </c>
      <c r="L45" s="83"/>
      <c r="M45" s="433" t="s">
        <v>202</v>
      </c>
      <c r="N45" s="428">
        <f>+K45-J45</f>
        <v>56.752000000000002</v>
      </c>
      <c r="O45" s="83"/>
      <c r="P45" s="83"/>
      <c r="Q45" s="83"/>
    </row>
    <row r="46" spans="1:17" s="81" customFormat="1" x14ac:dyDescent="0.25">
      <c r="A46" s="88"/>
      <c r="B46" s="79"/>
      <c r="C46" s="80"/>
      <c r="D46" s="82"/>
      <c r="E46" s="441" t="s">
        <v>204</v>
      </c>
      <c r="F46" s="484">
        <f>+F45/300</f>
        <v>0.56000000000000005</v>
      </c>
      <c r="G46" s="83"/>
      <c r="H46" s="80"/>
      <c r="I46" s="131" t="s">
        <v>189</v>
      </c>
      <c r="J46" s="113">
        <f>+J45/H39</f>
        <v>0.22766666666666666</v>
      </c>
      <c r="K46" s="112">
        <f>+K45/H39</f>
        <v>0.56547619047619047</v>
      </c>
      <c r="L46" s="83"/>
      <c r="M46" s="522"/>
      <c r="N46" s="503"/>
      <c r="O46" s="83"/>
      <c r="P46" s="83"/>
      <c r="Q46" s="83"/>
    </row>
    <row r="47" spans="1:17" s="81" customFormat="1" x14ac:dyDescent="0.25">
      <c r="A47" s="88"/>
      <c r="B47" s="79"/>
      <c r="C47" s="80"/>
      <c r="D47" s="82"/>
      <c r="E47" s="109"/>
      <c r="G47" s="83"/>
      <c r="H47" s="80"/>
      <c r="L47" s="83"/>
      <c r="M47" s="522"/>
      <c r="N47" s="503"/>
      <c r="O47" s="83"/>
      <c r="P47" s="83"/>
      <c r="Q47" s="83"/>
    </row>
    <row r="48" spans="1:17" s="107" customFormat="1" x14ac:dyDescent="0.25">
      <c r="A48" s="104"/>
      <c r="B48" s="105"/>
      <c r="C48" s="106"/>
      <c r="D48" s="108"/>
      <c r="E48" s="151"/>
      <c r="H48" s="106"/>
      <c r="M48" s="529"/>
      <c r="N48" s="504"/>
    </row>
    <row r="49" spans="1:18" s="98" customFormat="1" x14ac:dyDescent="0.25">
      <c r="A49" s="15"/>
      <c r="B49" s="87"/>
      <c r="C49" s="80"/>
      <c r="D49" s="115"/>
      <c r="E49" s="116"/>
      <c r="G49" s="117"/>
      <c r="H49" s="80"/>
      <c r="J49" s="152"/>
      <c r="K49" s="153"/>
      <c r="L49" s="117"/>
      <c r="M49" s="428"/>
      <c r="N49" s="500"/>
      <c r="O49" s="117"/>
      <c r="P49" s="117"/>
      <c r="Q49" s="117"/>
    </row>
    <row r="50" spans="1:18" s="98" customFormat="1" x14ac:dyDescent="0.25">
      <c r="A50" s="15"/>
      <c r="B50" s="87"/>
      <c r="C50" s="80"/>
      <c r="D50" s="115"/>
      <c r="E50" s="116"/>
      <c r="G50" s="117"/>
      <c r="H50" s="80"/>
      <c r="K50" s="114" t="s">
        <v>144</v>
      </c>
      <c r="L50" s="117"/>
      <c r="M50" s="428"/>
      <c r="N50" s="500"/>
      <c r="O50" s="117"/>
      <c r="P50" s="117"/>
      <c r="Q50" s="117"/>
    </row>
    <row r="51" spans="1:18" s="98" customFormat="1" x14ac:dyDescent="0.25">
      <c r="A51" s="15"/>
      <c r="B51" s="121"/>
      <c r="C51" s="80"/>
      <c r="D51" s="115"/>
      <c r="E51" s="116"/>
      <c r="G51" s="117"/>
      <c r="H51" s="118">
        <f>ROUNDUP(F57,0)</f>
        <v>168</v>
      </c>
      <c r="I51" s="119" t="s">
        <v>201</v>
      </c>
      <c r="J51" s="87">
        <f>+B7*F57</f>
        <v>38.247999999999998</v>
      </c>
      <c r="K51" s="120">
        <f>+F57*G7</f>
        <v>94.248000000000005</v>
      </c>
      <c r="L51" s="117"/>
      <c r="M51" s="428"/>
      <c r="N51" s="500"/>
      <c r="O51" s="117"/>
      <c r="P51" s="117"/>
      <c r="Q51" s="117"/>
    </row>
    <row r="52" spans="1:18" s="125" customFormat="1" ht="31.5" x14ac:dyDescent="0.25">
      <c r="A52" s="653" t="s">
        <v>269</v>
      </c>
      <c r="B52" s="148" t="s">
        <v>199</v>
      </c>
      <c r="C52" s="149" t="s">
        <v>196</v>
      </c>
      <c r="D52" s="148" t="s">
        <v>197</v>
      </c>
      <c r="E52" s="122" t="s">
        <v>198</v>
      </c>
      <c r="F52" s="150" t="s">
        <v>188</v>
      </c>
      <c r="G52" s="124"/>
      <c r="H52" s="302">
        <v>0</v>
      </c>
      <c r="I52" s="62" t="s">
        <v>177</v>
      </c>
      <c r="J52" s="87">
        <f>+H52*45</f>
        <v>0</v>
      </c>
      <c r="K52" s="93">
        <f>+H52*85</f>
        <v>0</v>
      </c>
      <c r="L52" s="124"/>
      <c r="M52" s="526"/>
      <c r="N52" s="502"/>
      <c r="O52" s="124"/>
      <c r="P52" s="124"/>
      <c r="Q52" s="124"/>
    </row>
    <row r="53" spans="1:18" s="81" customFormat="1" x14ac:dyDescent="0.25">
      <c r="A53" s="78" t="s">
        <v>211</v>
      </c>
      <c r="B53" s="199" t="s">
        <v>203</v>
      </c>
      <c r="C53" s="192">
        <v>200</v>
      </c>
      <c r="D53" s="199">
        <v>6</v>
      </c>
      <c r="E53" s="145">
        <f>IF(B53="Daily",7, IF(B53="Weekly",1, IF(B53="Every Other Day",4,"")))</f>
        <v>7</v>
      </c>
      <c r="F53" s="146">
        <f>+D53*E53</f>
        <v>42</v>
      </c>
      <c r="G53" s="83"/>
      <c r="H53" s="80">
        <f>IF(E57&gt;=25, E57+2, E57+1)</f>
        <v>30</v>
      </c>
      <c r="I53" s="62" t="s">
        <v>217</v>
      </c>
      <c r="J53" s="87"/>
      <c r="K53" s="93"/>
      <c r="L53" s="83"/>
      <c r="M53" s="522"/>
      <c r="N53" s="503"/>
      <c r="O53" s="83"/>
      <c r="P53" s="83"/>
      <c r="Q53" s="83"/>
    </row>
    <row r="54" spans="1:18" s="81" customFormat="1" x14ac:dyDescent="0.25">
      <c r="A54" s="78" t="s">
        <v>212</v>
      </c>
      <c r="B54" s="199" t="s">
        <v>203</v>
      </c>
      <c r="C54" s="315">
        <v>200</v>
      </c>
      <c r="D54" s="316">
        <v>6</v>
      </c>
      <c r="E54" s="147">
        <f>IF(B54="Daily",7, IF(B54="Weekly",1, IF(B54="Every Other Day",4,"")))</f>
        <v>7</v>
      </c>
      <c r="F54" s="146">
        <f t="shared" ref="F54:F56" si="3">+D54*E54</f>
        <v>42</v>
      </c>
      <c r="G54" s="83"/>
      <c r="H54" s="80">
        <f>ROUNDUP(F58,0)</f>
        <v>1</v>
      </c>
      <c r="I54" s="62" t="s">
        <v>190</v>
      </c>
      <c r="J54" s="87"/>
      <c r="K54" s="93"/>
      <c r="L54" s="83"/>
      <c r="M54" s="522"/>
      <c r="N54" s="503"/>
      <c r="O54" s="83"/>
      <c r="P54" s="83"/>
      <c r="Q54" s="83"/>
    </row>
    <row r="55" spans="1:18" s="81" customFormat="1" x14ac:dyDescent="0.25">
      <c r="A55" s="78" t="s">
        <v>213</v>
      </c>
      <c r="B55" s="199" t="s">
        <v>203</v>
      </c>
      <c r="C55" s="315">
        <v>200</v>
      </c>
      <c r="D55" s="316">
        <v>6</v>
      </c>
      <c r="E55" s="147">
        <f>IF(B55="Daily",7, IF(B55="Weekly",1, IF(B55="Every Other Day",4,"")))</f>
        <v>7</v>
      </c>
      <c r="F55" s="146">
        <f t="shared" si="3"/>
        <v>42</v>
      </c>
      <c r="G55" s="83"/>
      <c r="H55" s="80">
        <f>H53</f>
        <v>30</v>
      </c>
      <c r="I55" s="62" t="s">
        <v>200</v>
      </c>
      <c r="J55" s="87"/>
      <c r="K55" s="93"/>
      <c r="L55" s="83"/>
      <c r="M55" s="522"/>
      <c r="N55" s="503"/>
      <c r="O55" s="83"/>
      <c r="P55" s="83"/>
      <c r="Q55" s="83"/>
    </row>
    <row r="56" spans="1:18" s="81" customFormat="1" x14ac:dyDescent="0.25">
      <c r="A56" s="100" t="s">
        <v>214</v>
      </c>
      <c r="B56" s="101" t="s">
        <v>203</v>
      </c>
      <c r="C56" s="102">
        <v>200</v>
      </c>
      <c r="D56" s="101">
        <v>6</v>
      </c>
      <c r="E56" s="144">
        <f>IF(B56="Daily",7, IF(B56="Weekly",1, IF(B56="Every Other Day",4,"")))</f>
        <v>7</v>
      </c>
      <c r="F56" s="103">
        <f t="shared" si="3"/>
        <v>42</v>
      </c>
      <c r="G56" s="83"/>
      <c r="H56" s="303">
        <v>0</v>
      </c>
      <c r="I56" s="71" t="s">
        <v>192</v>
      </c>
      <c r="J56" s="142">
        <f>H56*3.65</f>
        <v>0</v>
      </c>
      <c r="K56" s="143"/>
      <c r="L56" s="83"/>
      <c r="M56" s="522"/>
      <c r="N56" s="503"/>
      <c r="O56" s="83"/>
      <c r="P56" s="83"/>
      <c r="Q56" s="83"/>
    </row>
    <row r="57" spans="1:18" s="81" customFormat="1" x14ac:dyDescent="0.25">
      <c r="A57" s="88"/>
      <c r="B57" s="79"/>
      <c r="C57" s="80"/>
      <c r="D57" s="82"/>
      <c r="E57" s="126">
        <f>SUM(E53:E56)</f>
        <v>28</v>
      </c>
      <c r="F57" s="127">
        <f>SUM(F53:F56)</f>
        <v>168</v>
      </c>
      <c r="G57" s="83"/>
      <c r="H57" s="80"/>
      <c r="J57" s="128">
        <f>SUM(J51:J56)</f>
        <v>38.247999999999998</v>
      </c>
      <c r="K57" s="129">
        <f>ROUNDUP(SUM(K51:K56),0)</f>
        <v>95</v>
      </c>
      <c r="L57" s="83"/>
      <c r="M57" s="433" t="s">
        <v>202</v>
      </c>
      <c r="N57" s="428">
        <f>+K57-J57</f>
        <v>56.752000000000002</v>
      </c>
      <c r="O57" s="83"/>
      <c r="P57" s="83"/>
      <c r="Q57" s="83"/>
    </row>
    <row r="58" spans="1:18" s="81" customFormat="1" x14ac:dyDescent="0.25">
      <c r="A58" s="88"/>
      <c r="B58" s="79"/>
      <c r="C58" s="80"/>
      <c r="D58" s="82"/>
      <c r="E58" s="441" t="s">
        <v>204</v>
      </c>
      <c r="F58" s="484">
        <f>+F57/300</f>
        <v>0.56000000000000005</v>
      </c>
      <c r="G58" s="83"/>
      <c r="H58" s="80"/>
      <c r="I58" s="131" t="s">
        <v>189</v>
      </c>
      <c r="J58" s="113">
        <f>+J57/H51</f>
        <v>0.22766666666666666</v>
      </c>
      <c r="K58" s="112">
        <f>+K57/H51</f>
        <v>0.56547619047619047</v>
      </c>
      <c r="L58" s="83"/>
      <c r="M58" s="492"/>
      <c r="N58" s="83"/>
      <c r="O58" s="83"/>
      <c r="P58" s="83"/>
      <c r="Q58" s="83"/>
    </row>
    <row r="59" spans="1:18" s="81" customFormat="1" x14ac:dyDescent="0.25">
      <c r="A59" s="88"/>
      <c r="B59" s="79"/>
      <c r="C59" s="80"/>
      <c r="D59" s="82"/>
      <c r="E59" s="109"/>
      <c r="G59" s="83"/>
      <c r="H59" s="80"/>
      <c r="L59" s="83"/>
      <c r="M59" s="492"/>
      <c r="N59" s="83"/>
      <c r="O59" s="83"/>
      <c r="P59" s="83"/>
      <c r="Q59" s="83"/>
    </row>
    <row r="60" spans="1:18" s="135" customFormat="1" x14ac:dyDescent="0.25">
      <c r="A60" s="132"/>
      <c r="B60" s="133"/>
      <c r="C60" s="134"/>
      <c r="D60" s="136"/>
      <c r="E60" s="137"/>
      <c r="H60" s="134"/>
      <c r="I60" s="138"/>
      <c r="J60" s="139"/>
      <c r="K60" s="140"/>
      <c r="M60" s="423"/>
    </row>
    <row r="61" spans="1:18" s="81" customFormat="1" x14ac:dyDescent="0.25">
      <c r="A61" s="88"/>
      <c r="B61" s="79"/>
      <c r="C61" s="80"/>
      <c r="E61" s="82"/>
      <c r="F61" s="109"/>
      <c r="H61" s="83"/>
      <c r="I61" s="80"/>
      <c r="J61" s="110"/>
      <c r="K61" s="111"/>
      <c r="L61" s="112"/>
      <c r="M61" s="83"/>
      <c r="N61" s="492"/>
      <c r="O61" s="83"/>
      <c r="P61" s="83"/>
      <c r="Q61" s="83"/>
      <c r="R61" s="83"/>
    </row>
    <row r="62" spans="1:18" s="81" customFormat="1" x14ac:dyDescent="0.25">
      <c r="A62" s="654" t="s">
        <v>215</v>
      </c>
      <c r="B62" s="79" t="s">
        <v>216</v>
      </c>
      <c r="C62" s="80"/>
      <c r="E62" s="82"/>
      <c r="F62" s="109"/>
      <c r="H62" s="83"/>
      <c r="I62" s="80"/>
      <c r="J62" s="110"/>
      <c r="K62" s="111"/>
      <c r="L62" s="112"/>
      <c r="M62" s="83"/>
      <c r="N62" s="492"/>
      <c r="O62" s="83"/>
      <c r="P62" s="83"/>
      <c r="Q62" s="83"/>
      <c r="R62" s="83"/>
    </row>
    <row r="63" spans="1:18" s="81" customFormat="1" x14ac:dyDescent="0.25">
      <c r="A63" s="13" t="s">
        <v>195</v>
      </c>
      <c r="B63" s="79"/>
      <c r="C63" s="80"/>
      <c r="E63" s="82"/>
      <c r="F63" s="109"/>
      <c r="H63" s="83"/>
      <c r="I63" s="80"/>
      <c r="J63" s="110"/>
      <c r="K63" s="111"/>
      <c r="L63" s="112"/>
      <c r="M63" s="83"/>
      <c r="N63" s="492"/>
      <c r="O63" s="83"/>
      <c r="P63" s="83"/>
      <c r="Q63" s="83"/>
      <c r="R63" s="83"/>
    </row>
    <row r="64" spans="1:18" s="81" customFormat="1" x14ac:dyDescent="0.25">
      <c r="A64" s="88"/>
      <c r="B64" s="79"/>
      <c r="C64" s="80"/>
      <c r="E64" s="82"/>
      <c r="F64" s="109"/>
      <c r="H64" s="83"/>
      <c r="I64" s="80"/>
      <c r="J64" s="110"/>
      <c r="K64" s="111"/>
      <c r="L64" s="112"/>
      <c r="M64" s="83"/>
      <c r="N64" s="492"/>
      <c r="O64" s="83"/>
      <c r="P64" s="83"/>
      <c r="Q64" s="83"/>
      <c r="R64" s="83"/>
    </row>
    <row r="65" spans="1:14" s="379" customFormat="1" x14ac:dyDescent="0.25">
      <c r="E65" s="380"/>
      <c r="G65" s="381"/>
      <c r="H65" s="382"/>
      <c r="I65" s="383"/>
      <c r="L65" s="141"/>
      <c r="N65" s="141"/>
    </row>
    <row r="66" spans="1:14" s="379" customFormat="1" x14ac:dyDescent="0.25">
      <c r="D66" s="380"/>
      <c r="F66" s="141"/>
      <c r="G66" s="382"/>
      <c r="H66" s="383"/>
      <c r="K66" s="141"/>
      <c r="N66" s="506"/>
    </row>
    <row r="67" spans="1:14" s="379" customFormat="1" x14ac:dyDescent="0.25">
      <c r="D67" s="380"/>
      <c r="F67" s="141"/>
      <c r="G67" s="382"/>
      <c r="H67" s="383"/>
      <c r="K67" s="141"/>
      <c r="N67" s="506"/>
    </row>
    <row r="68" spans="1:14" s="379" customFormat="1" x14ac:dyDescent="0.25">
      <c r="D68" s="380"/>
      <c r="F68" s="141"/>
      <c r="G68" s="382"/>
      <c r="H68" s="383"/>
      <c r="K68" s="141"/>
      <c r="N68" s="506"/>
    </row>
    <row r="69" spans="1:14" x14ac:dyDescent="0.25">
      <c r="D69" s="67"/>
      <c r="E69"/>
      <c r="F69" s="62"/>
      <c r="G69" s="13"/>
      <c r="H69" s="96"/>
      <c r="I69"/>
      <c r="K69" s="62"/>
      <c r="L69"/>
      <c r="M69" s="62"/>
      <c r="N69"/>
    </row>
    <row r="70" spans="1:14" x14ac:dyDescent="0.25">
      <c r="A70" t="s">
        <v>351</v>
      </c>
      <c r="D70" s="67"/>
      <c r="E70" s="62"/>
      <c r="F70" s="62"/>
      <c r="G70" s="13"/>
      <c r="H70" s="96"/>
      <c r="I70" s="62"/>
      <c r="J70" s="62"/>
      <c r="K70" s="62"/>
      <c r="L70"/>
      <c r="N70"/>
    </row>
    <row r="71" spans="1:14" ht="17.25" customHeight="1" x14ac:dyDescent="0.25">
      <c r="D71" s="532" t="s">
        <v>375</v>
      </c>
      <c r="E71" s="62"/>
      <c r="F71" s="62"/>
      <c r="G71" s="13"/>
      <c r="H71" s="96"/>
      <c r="I71" s="62"/>
      <c r="J71" s="62"/>
      <c r="K71" s="62"/>
      <c r="L71"/>
      <c r="N71"/>
    </row>
    <row r="72" spans="1:14" s="61" customFormat="1" x14ac:dyDescent="0.25">
      <c r="A72" s="61" t="s">
        <v>368</v>
      </c>
      <c r="D72" s="61" t="s">
        <v>369</v>
      </c>
      <c r="E72" s="453"/>
      <c r="F72" s="453"/>
      <c r="G72" s="458"/>
      <c r="H72" s="459"/>
      <c r="I72" s="453"/>
      <c r="J72" s="453"/>
      <c r="K72" s="453"/>
    </row>
    <row r="73" spans="1:14" x14ac:dyDescent="0.25">
      <c r="B73" s="61"/>
      <c r="D73" s="67"/>
      <c r="E73" s="62" t="s">
        <v>366</v>
      </c>
      <c r="F73" s="461">
        <f>F57</f>
        <v>168</v>
      </c>
      <c r="G73" s="13"/>
      <c r="H73" s="96"/>
      <c r="I73" s="62"/>
      <c r="J73" s="62"/>
      <c r="K73" s="62"/>
      <c r="L73"/>
      <c r="N73"/>
    </row>
    <row r="74" spans="1:14" x14ac:dyDescent="0.25">
      <c r="A74" s="368" t="s">
        <v>364</v>
      </c>
      <c r="B74" s="460">
        <f>N57</f>
        <v>56.752000000000002</v>
      </c>
      <c r="D74" s="67"/>
      <c r="E74" s="71" t="s">
        <v>360</v>
      </c>
      <c r="F74" s="71">
        <v>10</v>
      </c>
      <c r="G74" s="13"/>
      <c r="H74" s="96"/>
      <c r="I74" s="62"/>
      <c r="J74" s="62"/>
      <c r="K74" s="62"/>
      <c r="L74"/>
      <c r="N74"/>
    </row>
    <row r="75" spans="1:14" x14ac:dyDescent="0.25">
      <c r="D75" s="67"/>
      <c r="E75" s="62"/>
      <c r="F75" s="62">
        <f>+F74*F73</f>
        <v>1680</v>
      </c>
      <c r="G75" s="13" t="s">
        <v>367</v>
      </c>
      <c r="H75" s="96"/>
      <c r="I75" s="62"/>
      <c r="J75" s="62"/>
      <c r="K75" s="62"/>
      <c r="L75"/>
      <c r="N75"/>
    </row>
    <row r="76" spans="1:14" x14ac:dyDescent="0.25">
      <c r="D76" s="67"/>
      <c r="E76" s="453" t="s">
        <v>361</v>
      </c>
      <c r="F76" s="453">
        <f>ROUNDUP((F75/300),0)</f>
        <v>6</v>
      </c>
      <c r="G76" s="13"/>
      <c r="H76" s="96"/>
      <c r="I76" s="62"/>
      <c r="J76" s="62"/>
      <c r="K76" s="62"/>
      <c r="L76"/>
      <c r="N76"/>
    </row>
    <row r="77" spans="1:14" x14ac:dyDescent="0.25">
      <c r="D77" s="67"/>
      <c r="E77" s="62" t="s">
        <v>362</v>
      </c>
      <c r="F77" s="454">
        <f>+F76*100</f>
        <v>600</v>
      </c>
      <c r="G77" s="13"/>
      <c r="H77" s="96"/>
      <c r="I77" s="62"/>
      <c r="J77" s="62"/>
      <c r="K77" s="62"/>
      <c r="L77"/>
      <c r="N77"/>
    </row>
    <row r="78" spans="1:14" x14ac:dyDescent="0.25">
      <c r="D78" s="67"/>
      <c r="E78" s="62"/>
      <c r="F78" s="62"/>
      <c r="G78" s="13"/>
      <c r="H78" s="96"/>
      <c r="I78" s="62"/>
      <c r="J78" s="62"/>
      <c r="K78" s="62"/>
      <c r="L78"/>
      <c r="N78"/>
    </row>
    <row r="79" spans="1:14" x14ac:dyDescent="0.25">
      <c r="D79" s="455"/>
      <c r="E79" s="456" t="s">
        <v>363</v>
      </c>
      <c r="F79" s="457">
        <f>+F77/10</f>
        <v>60</v>
      </c>
      <c r="G79" s="13"/>
      <c r="H79" s="96"/>
      <c r="I79" s="62"/>
      <c r="J79" s="62"/>
      <c r="K79" s="62"/>
      <c r="L79"/>
      <c r="N79"/>
    </row>
    <row r="82" spans="1:14" s="379" customFormat="1" x14ac:dyDescent="0.25">
      <c r="D82" s="380"/>
      <c r="E82" s="141"/>
      <c r="F82" s="141"/>
      <c r="G82" s="382"/>
      <c r="H82" s="383"/>
      <c r="I82" s="141"/>
      <c r="J82" s="141"/>
      <c r="K82" s="141"/>
    </row>
    <row r="83" spans="1:14" s="379" customFormat="1" x14ac:dyDescent="0.25">
      <c r="D83" s="380"/>
      <c r="E83" s="141"/>
      <c r="F83" s="141"/>
      <c r="G83" s="382"/>
      <c r="H83" s="383"/>
      <c r="I83" s="141"/>
      <c r="J83" s="141"/>
      <c r="K83" s="141"/>
    </row>
    <row r="84" spans="1:14" s="379" customFormat="1" x14ac:dyDescent="0.25">
      <c r="D84" s="380"/>
      <c r="E84" s="141"/>
      <c r="F84" s="141"/>
      <c r="G84" s="382"/>
      <c r="H84" s="383"/>
      <c r="I84" s="141"/>
      <c r="J84" s="141"/>
      <c r="K84" s="141"/>
    </row>
    <row r="85" spans="1:14" x14ac:dyDescent="0.25">
      <c r="D85" s="67"/>
      <c r="E85" s="62"/>
      <c r="F85" s="62"/>
      <c r="G85" s="13"/>
      <c r="H85" s="96"/>
      <c r="I85" s="62"/>
      <c r="J85" s="62"/>
      <c r="K85" s="62"/>
      <c r="L85"/>
      <c r="N85"/>
    </row>
    <row r="86" spans="1:14" x14ac:dyDescent="0.25">
      <c r="D86" s="67"/>
      <c r="E86" s="62"/>
      <c r="F86" s="62"/>
      <c r="G86" s="13"/>
      <c r="H86" s="96"/>
      <c r="I86" s="62"/>
      <c r="J86" s="62"/>
      <c r="K86" s="62"/>
      <c r="L86"/>
      <c r="N86"/>
    </row>
    <row r="87" spans="1:14" x14ac:dyDescent="0.25">
      <c r="A87" t="s">
        <v>387</v>
      </c>
      <c r="D87" s="67"/>
      <c r="E87" s="62"/>
      <c r="F87" s="62"/>
      <c r="G87" t="s">
        <v>387</v>
      </c>
      <c r="H87"/>
      <c r="I87"/>
      <c r="J87" s="67"/>
      <c r="K87" s="62"/>
      <c r="L87"/>
      <c r="N87"/>
    </row>
    <row r="88" spans="1:14" x14ac:dyDescent="0.25">
      <c r="A88" t="s">
        <v>388</v>
      </c>
      <c r="D88" s="67"/>
      <c r="E88" s="62"/>
      <c r="F88" s="62"/>
      <c r="G88" s="64" t="s">
        <v>390</v>
      </c>
      <c r="H88"/>
      <c r="I88"/>
      <c r="J88" s="67"/>
      <c r="K88" s="62"/>
      <c r="L88"/>
      <c r="N88"/>
    </row>
    <row r="89" spans="1:14" x14ac:dyDescent="0.25">
      <c r="D89" s="67"/>
      <c r="E89" s="62"/>
      <c r="F89" s="62"/>
      <c r="G89"/>
      <c r="H89"/>
      <c r="I89"/>
      <c r="J89" s="67"/>
      <c r="K89" s="62"/>
      <c r="L89"/>
      <c r="N89"/>
    </row>
    <row r="90" spans="1:14" s="587" customFormat="1" x14ac:dyDescent="0.25">
      <c r="B90" s="587" t="s">
        <v>389</v>
      </c>
      <c r="C90" s="64" t="s">
        <v>113</v>
      </c>
      <c r="D90" s="593" t="s">
        <v>202</v>
      </c>
      <c r="E90" s="588"/>
      <c r="F90" s="588"/>
      <c r="H90" s="587" t="s">
        <v>389</v>
      </c>
      <c r="I90" s="64" t="s">
        <v>113</v>
      </c>
      <c r="J90" s="593" t="s">
        <v>202</v>
      </c>
      <c r="K90" s="588"/>
    </row>
    <row r="91" spans="1:14" s="587" customFormat="1" x14ac:dyDescent="0.25">
      <c r="A91" s="599">
        <v>0</v>
      </c>
      <c r="B91" s="66">
        <f>K57</f>
        <v>95</v>
      </c>
      <c r="C91" s="65">
        <f>J57</f>
        <v>38.247999999999998</v>
      </c>
      <c r="D91" s="603">
        <f>+B91-C91</f>
        <v>56.752000000000002</v>
      </c>
      <c r="E91" s="588"/>
      <c r="F91" s="588"/>
      <c r="G91" s="599">
        <v>0</v>
      </c>
      <c r="H91" s="602">
        <f>K33</f>
        <v>71</v>
      </c>
      <c r="I91" s="600">
        <f>J33</f>
        <v>32.335999999999999</v>
      </c>
      <c r="J91" s="601">
        <f>+H91-I91</f>
        <v>38.664000000000001</v>
      </c>
      <c r="K91" s="588"/>
    </row>
    <row r="92" spans="1:14" s="64" customFormat="1" x14ac:dyDescent="0.25">
      <c r="A92" s="596">
        <v>0.1</v>
      </c>
      <c r="B92" s="66">
        <f>0.9*B91</f>
        <v>85.5</v>
      </c>
      <c r="C92" s="65">
        <f>C91</f>
        <v>38.247999999999998</v>
      </c>
      <c r="D92" s="603">
        <f t="shared" ref="D92:D95" si="4">+B92-C92</f>
        <v>47.252000000000002</v>
      </c>
      <c r="E92" s="225"/>
      <c r="F92" s="225"/>
      <c r="G92" s="596">
        <v>0.1</v>
      </c>
      <c r="H92" s="587">
        <f>0.9*H91</f>
        <v>63.9</v>
      </c>
      <c r="I92" s="600">
        <f>I91</f>
        <v>32.335999999999999</v>
      </c>
      <c r="J92" s="601">
        <f t="shared" ref="J92:J95" si="5">+H92-I92</f>
        <v>31.564</v>
      </c>
      <c r="K92" s="225"/>
    </row>
    <row r="93" spans="1:14" s="507" customFormat="1" x14ac:dyDescent="0.25">
      <c r="A93" s="597">
        <v>0.15</v>
      </c>
      <c r="B93" s="66">
        <f>+B91*0.85</f>
        <v>80.75</v>
      </c>
      <c r="C93" s="65">
        <f t="shared" ref="C93:C95" si="6">C92</f>
        <v>38.247999999999998</v>
      </c>
      <c r="D93" s="603">
        <f t="shared" si="4"/>
        <v>42.502000000000002</v>
      </c>
      <c r="E93" s="498"/>
      <c r="F93" s="498"/>
      <c r="G93" s="597">
        <v>0.15</v>
      </c>
      <c r="H93" s="587">
        <f>+H91*0.85</f>
        <v>60.35</v>
      </c>
      <c r="I93" s="600">
        <f t="shared" ref="I93:I95" si="7">I92</f>
        <v>32.335999999999999</v>
      </c>
      <c r="J93" s="601">
        <f t="shared" si="5"/>
        <v>28.014000000000003</v>
      </c>
      <c r="K93" s="498"/>
    </row>
    <row r="94" spans="1:14" x14ac:dyDescent="0.25">
      <c r="A94" s="598">
        <v>0.2</v>
      </c>
      <c r="B94" s="66">
        <f>0.8*B91</f>
        <v>76</v>
      </c>
      <c r="C94" s="65">
        <f t="shared" si="6"/>
        <v>38.247999999999998</v>
      </c>
      <c r="D94" s="604">
        <f t="shared" si="4"/>
        <v>37.752000000000002</v>
      </c>
      <c r="E94" s="62"/>
      <c r="F94" s="62"/>
      <c r="G94" s="598">
        <v>0.2</v>
      </c>
      <c r="H94" s="587">
        <f>0.8*H91</f>
        <v>56.800000000000004</v>
      </c>
      <c r="I94" s="600">
        <f t="shared" si="7"/>
        <v>32.335999999999999</v>
      </c>
      <c r="J94" s="601">
        <f t="shared" si="5"/>
        <v>24.464000000000006</v>
      </c>
      <c r="K94" s="62"/>
      <c r="L94"/>
      <c r="N94"/>
    </row>
    <row r="95" spans="1:14" x14ac:dyDescent="0.25">
      <c r="A95" s="598">
        <v>0.25</v>
      </c>
      <c r="B95" s="66">
        <f>0.75*B91</f>
        <v>71.25</v>
      </c>
      <c r="C95" s="65">
        <f t="shared" si="6"/>
        <v>38.247999999999998</v>
      </c>
      <c r="D95" s="604">
        <f t="shared" si="4"/>
        <v>33.002000000000002</v>
      </c>
      <c r="E95" s="62"/>
      <c r="F95" s="62"/>
      <c r="G95" s="598">
        <v>0.25</v>
      </c>
      <c r="H95" s="587">
        <f>0.755*H91</f>
        <v>53.604999999999997</v>
      </c>
      <c r="I95" s="600">
        <f t="shared" si="7"/>
        <v>32.335999999999999</v>
      </c>
      <c r="J95" s="601">
        <f t="shared" si="5"/>
        <v>21.268999999999998</v>
      </c>
      <c r="K95" s="62"/>
      <c r="L95"/>
      <c r="N95"/>
    </row>
  </sheetData>
  <mergeCells count="1">
    <mergeCell ref="C4:D4"/>
  </mergeCells>
  <dataValidations count="1">
    <dataValidation type="list" allowBlank="1" showInputMessage="1" showErrorMessage="1" sqref="B29:B32 B16:B19 B53:B56 B41:B44" xr:uid="{E44CFCCB-BCED-48BB-85E0-3E68C154D7A2}">
      <formula1>$N$1:$N$3</formula1>
    </dataValidation>
  </dataValidations>
  <pageMargins left="0.7" right="0.7" top="0.75" bottom="0.75" header="0.3" footer="0.3"/>
  <pageSetup scale="62" fitToHeight="1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FEBF-A4E0-4B64-B036-192251B4A526}">
  <sheetPr codeName="Sheet15">
    <pageSetUpPr fitToPage="1"/>
  </sheetPr>
  <dimension ref="A1:S98"/>
  <sheetViews>
    <sheetView workbookViewId="0"/>
  </sheetViews>
  <sheetFormatPr defaultColWidth="12.125" defaultRowHeight="15.75" x14ac:dyDescent="0.25"/>
  <cols>
    <col min="1" max="1" width="10" customWidth="1"/>
    <col min="5" max="5" width="12.125" style="67"/>
    <col min="7" max="7" width="12.125" style="95"/>
    <col min="8" max="8" width="12.125" style="13"/>
    <col min="9" max="9" width="12.125" style="96"/>
    <col min="12" max="12" width="12.125" style="62"/>
  </cols>
  <sheetData>
    <row r="1" spans="1:19" ht="30.75" customHeight="1" x14ac:dyDescent="0.55000000000000004">
      <c r="A1" s="234" t="s">
        <v>23</v>
      </c>
      <c r="B1" s="236"/>
      <c r="C1" s="236"/>
      <c r="D1" s="236"/>
      <c r="I1" s="117"/>
      <c r="J1" s="287"/>
      <c r="K1" s="287"/>
      <c r="L1" s="117"/>
      <c r="M1" s="287"/>
      <c r="O1" s="154" t="s">
        <v>203</v>
      </c>
    </row>
    <row r="2" spans="1:19" s="98" customFormat="1" x14ac:dyDescent="0.25">
      <c r="A2" s="87"/>
      <c r="B2" s="200">
        <f>'Pep Costs'!B32</f>
        <v>125</v>
      </c>
      <c r="C2" s="87" t="s">
        <v>142</v>
      </c>
      <c r="D2" s="87"/>
      <c r="E2" s="117"/>
      <c r="F2" s="117"/>
      <c r="G2" s="117"/>
      <c r="H2" s="117"/>
      <c r="I2" s="117"/>
      <c r="J2" s="429"/>
      <c r="K2" s="430"/>
      <c r="L2" s="471"/>
      <c r="M2" s="117"/>
      <c r="O2" s="155" t="s">
        <v>187</v>
      </c>
      <c r="P2" s="117"/>
      <c r="Q2" s="117"/>
      <c r="R2" s="117"/>
      <c r="S2" s="117"/>
    </row>
    <row r="3" spans="1:19" s="98" customFormat="1" x14ac:dyDescent="0.25">
      <c r="A3" s="87"/>
      <c r="B3" s="170">
        <v>3.3</v>
      </c>
      <c r="C3" s="170" t="s">
        <v>185</v>
      </c>
      <c r="D3" s="87"/>
      <c r="E3" s="117"/>
      <c r="F3" s="117"/>
      <c r="G3" s="117"/>
      <c r="H3" s="117"/>
      <c r="I3" s="117"/>
      <c r="J3" s="117"/>
      <c r="K3" s="117"/>
      <c r="L3" s="152"/>
      <c r="M3" s="117"/>
      <c r="O3" s="155" t="s">
        <v>206</v>
      </c>
      <c r="P3" s="117"/>
      <c r="Q3" s="117"/>
      <c r="R3" s="117"/>
      <c r="S3" s="117"/>
    </row>
    <row r="4" spans="1:19" s="98" customFormat="1" ht="33" customHeight="1" x14ac:dyDescent="0.4">
      <c r="A4" s="87"/>
      <c r="B4" s="142">
        <v>15</v>
      </c>
      <c r="C4" s="656" t="s">
        <v>230</v>
      </c>
      <c r="D4" s="657"/>
      <c r="E4" s="270"/>
      <c r="F4" s="511" t="s">
        <v>349</v>
      </c>
      <c r="G4" s="512" t="s">
        <v>144</v>
      </c>
      <c r="H4" s="117"/>
      <c r="I4" s="117"/>
      <c r="J4" s="158"/>
      <c r="K4" s="117"/>
      <c r="L4" s="152"/>
      <c r="M4" s="117"/>
      <c r="O4" s="157"/>
      <c r="P4" s="117"/>
      <c r="Q4" s="117"/>
      <c r="R4" s="117"/>
      <c r="S4" s="117"/>
    </row>
    <row r="5" spans="1:19" s="98" customFormat="1" x14ac:dyDescent="0.25">
      <c r="A5" s="314"/>
      <c r="B5" s="87">
        <f>SUM(B2:B4)</f>
        <v>143.30000000000001</v>
      </c>
      <c r="C5" s="87"/>
      <c r="D5" s="87"/>
      <c r="E5" s="270"/>
      <c r="F5" s="117">
        <v>100</v>
      </c>
      <c r="G5" s="130">
        <f>+F5+B5</f>
        <v>243.3</v>
      </c>
      <c r="H5" s="117"/>
      <c r="I5" s="117"/>
      <c r="J5" s="158"/>
      <c r="K5" s="117"/>
      <c r="L5" s="152"/>
      <c r="M5" s="117"/>
      <c r="P5" s="117"/>
      <c r="Q5" s="117"/>
      <c r="R5" s="117"/>
      <c r="S5" s="117"/>
    </row>
    <row r="6" spans="1:19" s="98" customFormat="1" x14ac:dyDescent="0.25">
      <c r="A6" s="87"/>
      <c r="B6" s="87"/>
      <c r="C6" s="87"/>
      <c r="D6" s="87"/>
      <c r="E6" s="117"/>
      <c r="F6" s="117"/>
      <c r="G6" s="120"/>
      <c r="H6" s="471"/>
      <c r="I6" s="117"/>
      <c r="J6" s="80"/>
      <c r="L6" s="152"/>
      <c r="M6" s="153"/>
      <c r="N6" s="117"/>
      <c r="O6" s="117"/>
      <c r="P6" s="117"/>
      <c r="Q6" s="117"/>
      <c r="R6" s="117"/>
      <c r="S6" s="117"/>
    </row>
    <row r="7" spans="1:19" s="98" customFormat="1" x14ac:dyDescent="0.25">
      <c r="A7" s="225" t="s">
        <v>189</v>
      </c>
      <c r="B7" s="87">
        <f>+B5/300</f>
        <v>0.47766666666666668</v>
      </c>
      <c r="C7" s="87"/>
      <c r="D7" s="87"/>
      <c r="E7" s="62"/>
      <c r="F7" s="62" t="s">
        <v>189</v>
      </c>
      <c r="G7" s="392">
        <f>+G5/300</f>
        <v>0.81100000000000005</v>
      </c>
      <c r="H7" s="117"/>
      <c r="I7" s="80"/>
      <c r="K7" s="152"/>
      <c r="L7" s="153"/>
      <c r="M7" s="117"/>
      <c r="N7" s="117"/>
      <c r="O7" s="117"/>
      <c r="P7" s="117"/>
      <c r="Q7" s="117"/>
      <c r="R7" s="117"/>
    </row>
    <row r="8" spans="1:19" s="117" customFormat="1" x14ac:dyDescent="0.25">
      <c r="A8" s="225"/>
      <c r="B8" s="128"/>
      <c r="C8" s="128"/>
      <c r="D8" s="128"/>
      <c r="E8" s="62"/>
      <c r="F8" s="390"/>
      <c r="G8" s="471"/>
      <c r="I8" s="158"/>
      <c r="K8" s="152"/>
      <c r="L8" s="153"/>
    </row>
    <row r="9" spans="1:19" s="161" customFormat="1" x14ac:dyDescent="0.25">
      <c r="A9" s="141"/>
      <c r="B9" s="160"/>
      <c r="D9" s="307"/>
      <c r="E9" s="238"/>
      <c r="F9" s="239"/>
      <c r="H9" s="164"/>
      <c r="J9" s="165"/>
      <c r="K9" s="166"/>
    </row>
    <row r="10" spans="1:19" s="161" customFormat="1" x14ac:dyDescent="0.25">
      <c r="A10" s="141"/>
      <c r="B10" s="160"/>
      <c r="D10" s="307"/>
      <c r="E10" s="238"/>
      <c r="F10" s="239"/>
      <c r="H10" s="164"/>
      <c r="J10" s="165"/>
      <c r="K10" s="166"/>
    </row>
    <row r="11" spans="1:19" s="241" customFormat="1" x14ac:dyDescent="0.25">
      <c r="A11" s="186"/>
      <c r="B11" s="240"/>
      <c r="D11" s="308"/>
      <c r="E11" s="242"/>
      <c r="F11" s="243"/>
      <c r="H11" s="173"/>
      <c r="J11" s="244"/>
      <c r="K11" s="245"/>
    </row>
    <row r="12" spans="1:19" s="98" customFormat="1" x14ac:dyDescent="0.25">
      <c r="A12" s="15"/>
      <c r="B12" s="87"/>
      <c r="C12" s="80"/>
      <c r="D12" s="115"/>
      <c r="E12" s="116"/>
      <c r="G12" s="117"/>
      <c r="H12" s="80"/>
      <c r="J12" s="152"/>
      <c r="K12" s="153"/>
      <c r="L12" s="117"/>
      <c r="M12" s="117"/>
      <c r="N12" s="117"/>
      <c r="O12" s="117"/>
      <c r="P12" s="117"/>
      <c r="Q12" s="117"/>
    </row>
    <row r="13" spans="1:19" s="98" customFormat="1" x14ac:dyDescent="0.25">
      <c r="A13" s="168" t="s">
        <v>218</v>
      </c>
      <c r="B13" s="87"/>
      <c r="C13" s="80"/>
      <c r="D13" s="115"/>
      <c r="E13" s="116"/>
      <c r="G13" s="117"/>
      <c r="H13" s="80"/>
      <c r="K13" s="280" t="s">
        <v>144</v>
      </c>
      <c r="L13" s="117"/>
      <c r="M13" s="117"/>
      <c r="N13" s="117"/>
      <c r="O13" s="117"/>
      <c r="P13" s="117"/>
      <c r="Q13" s="117"/>
    </row>
    <row r="14" spans="1:19" s="98" customFormat="1" x14ac:dyDescent="0.25">
      <c r="A14" s="15"/>
      <c r="B14" s="121"/>
      <c r="C14" s="80"/>
      <c r="D14" s="115"/>
      <c r="E14" s="116"/>
      <c r="G14" s="117"/>
      <c r="H14" s="261">
        <f>ROUNDUP(F20,0)</f>
        <v>308</v>
      </c>
      <c r="I14" s="262" t="s">
        <v>201</v>
      </c>
      <c r="J14" s="87">
        <f>+B7*F20</f>
        <v>147.12133333333333</v>
      </c>
      <c r="K14" s="264">
        <f>+F20*G7</f>
        <v>249.78800000000001</v>
      </c>
      <c r="L14" s="117"/>
      <c r="M14" s="117"/>
      <c r="N14" s="117"/>
      <c r="O14" s="117"/>
      <c r="P14" s="117"/>
      <c r="Q14" s="117"/>
    </row>
    <row r="15" spans="1:19" s="125" customFormat="1" ht="31.5" x14ac:dyDescent="0.25">
      <c r="A15" s="182"/>
      <c r="B15" s="183" t="s">
        <v>199</v>
      </c>
      <c r="C15" s="184" t="s">
        <v>196</v>
      </c>
      <c r="D15" s="183" t="s">
        <v>197</v>
      </c>
      <c r="E15" s="169" t="s">
        <v>198</v>
      </c>
      <c r="F15" s="185" t="s">
        <v>188</v>
      </c>
      <c r="G15" s="124"/>
      <c r="H15" s="265">
        <v>1</v>
      </c>
      <c r="I15" s="309" t="s">
        <v>177</v>
      </c>
      <c r="J15" s="310">
        <f>+H15*45</f>
        <v>45</v>
      </c>
      <c r="K15" s="311">
        <v>45</v>
      </c>
      <c r="L15" s="124"/>
      <c r="M15" s="502"/>
      <c r="N15" s="502"/>
      <c r="O15" s="124"/>
      <c r="P15" s="124"/>
      <c r="Q15" s="124"/>
    </row>
    <row r="16" spans="1:19" s="81" customFormat="1" x14ac:dyDescent="0.25">
      <c r="A16" s="306" t="s">
        <v>219</v>
      </c>
      <c r="B16" s="251" t="s">
        <v>203</v>
      </c>
      <c r="C16" s="252"/>
      <c r="D16" s="251">
        <v>7</v>
      </c>
      <c r="E16" s="254">
        <f>IF(B16="Daily",7, IF(B16="Weekly",1, IF(B16="Every Other Day",4,"")))</f>
        <v>7</v>
      </c>
      <c r="F16" s="255">
        <f>+D16*E16</f>
        <v>49</v>
      </c>
      <c r="G16" s="83"/>
      <c r="H16" s="266">
        <f>IF(E20&gt;=25, E20+2, E20+1)</f>
        <v>30</v>
      </c>
      <c r="I16" s="305" t="s">
        <v>217</v>
      </c>
      <c r="J16" s="87"/>
      <c r="K16" s="263"/>
      <c r="L16" s="83"/>
      <c r="M16" s="503"/>
      <c r="N16" s="503"/>
      <c r="O16" s="83"/>
      <c r="P16" s="83"/>
      <c r="Q16" s="83"/>
    </row>
    <row r="17" spans="1:17" s="81" customFormat="1" x14ac:dyDescent="0.25">
      <c r="A17" s="306" t="s">
        <v>219</v>
      </c>
      <c r="B17" s="251" t="s">
        <v>203</v>
      </c>
      <c r="C17" s="252"/>
      <c r="D17" s="251">
        <v>7</v>
      </c>
      <c r="E17" s="256">
        <f>IF(B17="Daily",7, IF(B17="Weekly",1, IF(B17="Every Other Day",4,"")))</f>
        <v>7</v>
      </c>
      <c r="F17" s="255">
        <f t="shared" ref="F17:F19" si="0">+D17*E17</f>
        <v>49</v>
      </c>
      <c r="G17" s="83"/>
      <c r="H17" s="266">
        <f>ROUNDUP(F21,0)</f>
        <v>2</v>
      </c>
      <c r="I17" s="305" t="s">
        <v>190</v>
      </c>
      <c r="J17" s="87"/>
      <c r="K17" s="263"/>
      <c r="L17" s="83"/>
      <c r="M17" s="503"/>
      <c r="N17" s="503"/>
      <c r="O17" s="83"/>
      <c r="P17" s="83"/>
      <c r="Q17" s="83"/>
    </row>
    <row r="18" spans="1:17" s="81" customFormat="1" x14ac:dyDescent="0.25">
      <c r="A18" s="306" t="s">
        <v>219</v>
      </c>
      <c r="B18" s="251" t="s">
        <v>203</v>
      </c>
      <c r="C18" s="252"/>
      <c r="D18" s="251">
        <v>15</v>
      </c>
      <c r="E18" s="256">
        <f>IF(B18="Daily",7, IF(B18="Weekly",1, IF(B18="Every Other Day",4,"")))</f>
        <v>7</v>
      </c>
      <c r="F18" s="255">
        <f t="shared" si="0"/>
        <v>105</v>
      </c>
      <c r="G18" s="83"/>
      <c r="H18" s="266">
        <f>H16</f>
        <v>30</v>
      </c>
      <c r="I18" s="305" t="s">
        <v>200</v>
      </c>
      <c r="J18" s="87"/>
      <c r="K18" s="263"/>
      <c r="L18" s="83"/>
      <c r="M18" s="503"/>
      <c r="N18" s="503"/>
      <c r="O18" s="83"/>
      <c r="P18" s="83"/>
      <c r="Q18" s="83"/>
    </row>
    <row r="19" spans="1:17" s="81" customFormat="1" x14ac:dyDescent="0.25">
      <c r="A19" s="306" t="s">
        <v>219</v>
      </c>
      <c r="B19" s="257" t="s">
        <v>203</v>
      </c>
      <c r="C19" s="258"/>
      <c r="D19" s="257">
        <v>15</v>
      </c>
      <c r="E19" s="259">
        <f>IF(B19="Daily",7, IF(B19="Weekly",1, IF(B19="Every Other Day",4,"")))</f>
        <v>7</v>
      </c>
      <c r="F19" s="260">
        <f t="shared" si="0"/>
        <v>105</v>
      </c>
      <c r="G19" s="83"/>
      <c r="H19" s="252">
        <v>0</v>
      </c>
      <c r="I19" s="304" t="s">
        <v>192</v>
      </c>
      <c r="J19" s="142">
        <f>H19*3.65</f>
        <v>0</v>
      </c>
      <c r="K19" s="267"/>
      <c r="L19" s="83"/>
      <c r="M19" s="503"/>
      <c r="N19" s="503"/>
      <c r="O19" s="83"/>
      <c r="P19" s="83"/>
      <c r="Q19" s="83"/>
    </row>
    <row r="20" spans="1:17" s="81" customFormat="1" x14ac:dyDescent="0.25">
      <c r="A20" s="88"/>
      <c r="B20" s="79"/>
      <c r="C20" s="80"/>
      <c r="D20" s="82"/>
      <c r="E20" s="167">
        <f>SUM(E16:E19)</f>
        <v>28</v>
      </c>
      <c r="F20" s="279">
        <f>SUM(F16:F19)</f>
        <v>308</v>
      </c>
      <c r="G20" s="83"/>
      <c r="H20" s="80"/>
      <c r="J20" s="128">
        <f>SUM(J14:J19)</f>
        <v>192.12133333333333</v>
      </c>
      <c r="K20" s="269">
        <f>ROUNDUP(SUM(K14:K19),0)</f>
        <v>295</v>
      </c>
      <c r="L20" s="83"/>
      <c r="M20" s="427" t="s">
        <v>202</v>
      </c>
      <c r="N20" s="428">
        <f>+K20-J20</f>
        <v>102.87866666666667</v>
      </c>
      <c r="O20" s="83"/>
      <c r="P20" s="83"/>
      <c r="Q20" s="83"/>
    </row>
    <row r="21" spans="1:17" s="81" customFormat="1" x14ac:dyDescent="0.25">
      <c r="A21" s="88"/>
      <c r="B21" s="79"/>
      <c r="C21" s="80"/>
      <c r="D21" s="82"/>
      <c r="E21" s="89" t="s">
        <v>204</v>
      </c>
      <c r="F21" s="110">
        <f>+F20/300</f>
        <v>1.0266666666666666</v>
      </c>
      <c r="G21" s="83"/>
      <c r="H21" s="80"/>
      <c r="I21" s="131" t="s">
        <v>189</v>
      </c>
      <c r="J21" s="113">
        <f>+J20/H14</f>
        <v>0.62377056277056275</v>
      </c>
      <c r="K21" s="112">
        <f>+K20/H14</f>
        <v>0.95779220779220775</v>
      </c>
      <c r="L21" s="83"/>
      <c r="M21" s="427"/>
      <c r="N21" s="427"/>
      <c r="O21" s="83"/>
      <c r="P21" s="83"/>
      <c r="Q21" s="83"/>
    </row>
    <row r="22" spans="1:17" s="81" customFormat="1" x14ac:dyDescent="0.25">
      <c r="A22" s="88"/>
      <c r="B22" s="79"/>
      <c r="C22" s="80"/>
      <c r="D22" s="82"/>
      <c r="E22" s="109"/>
      <c r="G22" s="83"/>
      <c r="H22" s="80"/>
      <c r="L22" s="83"/>
      <c r="M22" s="503"/>
      <c r="N22" s="503"/>
      <c r="O22" s="83"/>
      <c r="P22" s="83"/>
      <c r="Q22" s="83"/>
    </row>
    <row r="23" spans="1:17" s="161" customFormat="1" x14ac:dyDescent="0.25">
      <c r="A23" s="141"/>
      <c r="B23" s="160"/>
      <c r="D23" s="307"/>
      <c r="E23" s="238"/>
      <c r="F23" s="239"/>
      <c r="H23" s="164"/>
      <c r="J23" s="165"/>
      <c r="K23" s="166"/>
      <c r="M23" s="501"/>
      <c r="N23" s="501"/>
    </row>
    <row r="24" spans="1:17" s="161" customFormat="1" x14ac:dyDescent="0.25">
      <c r="A24" s="159"/>
      <c r="B24" s="160"/>
      <c r="D24" s="162"/>
      <c r="E24" s="163"/>
      <c r="H24" s="164"/>
      <c r="J24" s="165"/>
      <c r="K24" s="166"/>
      <c r="M24" s="501"/>
      <c r="N24" s="501"/>
    </row>
    <row r="25" spans="1:17" s="98" customFormat="1" x14ac:dyDescent="0.25">
      <c r="A25" s="15"/>
      <c r="B25" s="87"/>
      <c r="C25" s="80"/>
      <c r="D25" s="115"/>
      <c r="E25" s="116"/>
      <c r="G25" s="117"/>
      <c r="H25" s="80"/>
      <c r="J25" s="152"/>
      <c r="K25" s="153"/>
      <c r="L25" s="117"/>
      <c r="M25" s="500"/>
      <c r="N25" s="500"/>
      <c r="O25" s="117"/>
      <c r="P25" s="117"/>
      <c r="Q25" s="117"/>
    </row>
    <row r="26" spans="1:17" s="98" customFormat="1" x14ac:dyDescent="0.25">
      <c r="A26" s="15"/>
      <c r="B26" s="87"/>
      <c r="C26" s="80"/>
      <c r="D26" s="115"/>
      <c r="E26" s="116"/>
      <c r="G26" s="117"/>
      <c r="H26" s="80"/>
      <c r="K26" s="114" t="s">
        <v>144</v>
      </c>
      <c r="L26" s="117"/>
      <c r="M26" s="500"/>
      <c r="N26" s="500"/>
      <c r="O26" s="117"/>
      <c r="P26" s="117"/>
      <c r="Q26" s="117"/>
    </row>
    <row r="27" spans="1:17" s="98" customFormat="1" x14ac:dyDescent="0.25">
      <c r="A27" s="15"/>
      <c r="B27" s="121"/>
      <c r="C27" s="80"/>
      <c r="D27" s="115"/>
      <c r="E27" s="116"/>
      <c r="G27" s="117"/>
      <c r="H27" s="118">
        <f>ROUNDUP(F33,0)</f>
        <v>308</v>
      </c>
      <c r="I27" s="119" t="s">
        <v>201</v>
      </c>
      <c r="J27" s="87">
        <f>F33*B7</f>
        <v>147.12133333333333</v>
      </c>
      <c r="K27" s="120">
        <f>+F33*G7</f>
        <v>249.78800000000001</v>
      </c>
      <c r="L27" s="117"/>
      <c r="M27" s="500"/>
      <c r="N27" s="500"/>
      <c r="O27" s="117"/>
      <c r="P27" s="117"/>
      <c r="Q27" s="117"/>
    </row>
    <row r="28" spans="1:17" s="125" customFormat="1" ht="31.5" x14ac:dyDescent="0.25">
      <c r="A28" s="653" t="s">
        <v>266</v>
      </c>
      <c r="B28" s="148" t="s">
        <v>199</v>
      </c>
      <c r="C28" s="149" t="s">
        <v>196</v>
      </c>
      <c r="D28" s="148" t="s">
        <v>197</v>
      </c>
      <c r="E28" s="122" t="s">
        <v>198</v>
      </c>
      <c r="F28" s="150" t="s">
        <v>188</v>
      </c>
      <c r="G28" s="124"/>
      <c r="H28" s="302">
        <v>0</v>
      </c>
      <c r="I28" s="62" t="s">
        <v>177</v>
      </c>
      <c r="J28" s="87">
        <f>+H28*45</f>
        <v>0</v>
      </c>
      <c r="K28" s="93">
        <f>H28*85</f>
        <v>0</v>
      </c>
      <c r="L28" s="124"/>
      <c r="M28" s="502"/>
      <c r="N28" s="502"/>
      <c r="O28" s="124"/>
      <c r="P28" s="124"/>
      <c r="Q28" s="124"/>
    </row>
    <row r="29" spans="1:17" s="81" customFormat="1" x14ac:dyDescent="0.25">
      <c r="A29" s="78" t="s">
        <v>108</v>
      </c>
      <c r="B29" s="199" t="s">
        <v>203</v>
      </c>
      <c r="C29" s="192">
        <v>250</v>
      </c>
      <c r="D29" s="199">
        <v>7</v>
      </c>
      <c r="E29" s="145">
        <f>IF(B29="Daily",7, IF(B29="Weekly",1, IF(B29="Every Other Day",4,"")))</f>
        <v>7</v>
      </c>
      <c r="F29" s="146">
        <f>+D29*E29</f>
        <v>49</v>
      </c>
      <c r="G29" s="83"/>
      <c r="H29" s="80">
        <f>IF(E33&gt;=25, E33+2, E33+1)</f>
        <v>30</v>
      </c>
      <c r="I29" s="62" t="s">
        <v>217</v>
      </c>
      <c r="J29" s="87"/>
      <c r="K29" s="93"/>
      <c r="L29" s="83"/>
      <c r="M29" s="503"/>
      <c r="N29" s="503"/>
      <c r="O29" s="83"/>
      <c r="P29" s="83"/>
      <c r="Q29" s="83"/>
    </row>
    <row r="30" spans="1:17" s="81" customFormat="1" x14ac:dyDescent="0.25">
      <c r="A30" s="78" t="s">
        <v>109</v>
      </c>
      <c r="B30" s="199" t="s">
        <v>203</v>
      </c>
      <c r="C30" s="192">
        <v>250</v>
      </c>
      <c r="D30" s="199">
        <v>7</v>
      </c>
      <c r="E30" s="147">
        <f>IF(B30="Daily",7, IF(B30="Weekly",1, IF(B30="Every Other Day",4,"")))</f>
        <v>7</v>
      </c>
      <c r="F30" s="146">
        <f t="shared" ref="F30:F32" si="1">+D30*E30</f>
        <v>49</v>
      </c>
      <c r="G30" s="83"/>
      <c r="H30" s="80">
        <f>ROUNDUP(F34,0)</f>
        <v>2</v>
      </c>
      <c r="I30" s="62" t="s">
        <v>190</v>
      </c>
      <c r="J30" s="87"/>
      <c r="K30" s="93"/>
      <c r="L30" s="83"/>
      <c r="M30" s="503"/>
      <c r="N30" s="503"/>
      <c r="O30" s="83"/>
      <c r="P30" s="83"/>
      <c r="Q30" s="83"/>
    </row>
    <row r="31" spans="1:17" s="81" customFormat="1" x14ac:dyDescent="0.25">
      <c r="A31" s="78" t="s">
        <v>110</v>
      </c>
      <c r="B31" s="199" t="s">
        <v>203</v>
      </c>
      <c r="C31" s="192">
        <v>500</v>
      </c>
      <c r="D31" s="199">
        <v>15</v>
      </c>
      <c r="E31" s="147">
        <f>IF(B31="Daily",7, IF(B31="Weekly",1, IF(B31="Every Other Day",4,"")))</f>
        <v>7</v>
      </c>
      <c r="F31" s="146">
        <f t="shared" si="1"/>
        <v>105</v>
      </c>
      <c r="G31" s="83"/>
      <c r="H31" s="80">
        <f>H29</f>
        <v>30</v>
      </c>
      <c r="I31" s="62" t="s">
        <v>200</v>
      </c>
      <c r="J31" s="87"/>
      <c r="K31" s="93"/>
      <c r="L31" s="83"/>
      <c r="M31" s="503"/>
      <c r="N31" s="503"/>
      <c r="O31" s="83"/>
      <c r="P31" s="83"/>
      <c r="Q31" s="83"/>
    </row>
    <row r="32" spans="1:17" s="81" customFormat="1" x14ac:dyDescent="0.25">
      <c r="A32" s="100" t="s">
        <v>141</v>
      </c>
      <c r="B32" s="101" t="s">
        <v>203</v>
      </c>
      <c r="C32" s="102">
        <v>500</v>
      </c>
      <c r="D32" s="101">
        <v>15</v>
      </c>
      <c r="E32" s="144">
        <f>IF(B32="Daily",7, IF(B32="Weekly",1, IF(B32="Every Other Day",4,"")))</f>
        <v>7</v>
      </c>
      <c r="F32" s="103">
        <f t="shared" si="1"/>
        <v>105</v>
      </c>
      <c r="G32" s="83"/>
      <c r="H32" s="303">
        <v>1</v>
      </c>
      <c r="I32" s="71" t="s">
        <v>192</v>
      </c>
      <c r="J32" s="142">
        <f>H32*3.65</f>
        <v>3.65</v>
      </c>
      <c r="K32" s="143"/>
      <c r="L32" s="83"/>
      <c r="M32" s="503"/>
      <c r="N32" s="503"/>
      <c r="O32" s="83"/>
      <c r="P32" s="83"/>
      <c r="Q32" s="83"/>
    </row>
    <row r="33" spans="1:17" s="81" customFormat="1" x14ac:dyDescent="0.25">
      <c r="A33" s="88"/>
      <c r="B33" s="79"/>
      <c r="C33" s="80"/>
      <c r="D33" s="82"/>
      <c r="E33" s="167">
        <f>SUM(E29:E32)</f>
        <v>28</v>
      </c>
      <c r="F33" s="127">
        <f>SUM(F29:F32)</f>
        <v>308</v>
      </c>
      <c r="G33" s="83"/>
      <c r="H33" s="80"/>
      <c r="J33" s="128">
        <f>SUM(J27:J32)</f>
        <v>150.77133333333333</v>
      </c>
      <c r="K33" s="129">
        <f>ROUNDUP(SUM(K27:K32),0)</f>
        <v>250</v>
      </c>
      <c r="L33" s="83"/>
      <c r="M33" s="427" t="s">
        <v>202</v>
      </c>
      <c r="N33" s="428">
        <f>+K33-J33</f>
        <v>99.228666666666669</v>
      </c>
      <c r="O33" s="83"/>
      <c r="P33" s="83"/>
      <c r="Q33" s="83"/>
    </row>
    <row r="34" spans="1:17" s="81" customFormat="1" x14ac:dyDescent="0.25">
      <c r="A34" s="88"/>
      <c r="B34" s="79"/>
      <c r="C34" s="80"/>
      <c r="D34" s="82"/>
      <c r="E34" s="89" t="s">
        <v>204</v>
      </c>
      <c r="F34" s="110">
        <f>+F33/300</f>
        <v>1.0266666666666666</v>
      </c>
      <c r="G34" s="83"/>
      <c r="H34" s="80"/>
      <c r="I34" s="131" t="s">
        <v>189</v>
      </c>
      <c r="J34" s="113">
        <f>+J33/H27</f>
        <v>0.48951731601731602</v>
      </c>
      <c r="K34" s="112">
        <f>+K33/H27</f>
        <v>0.81168831168831168</v>
      </c>
      <c r="L34" s="83"/>
      <c r="M34" s="503"/>
      <c r="N34" s="503"/>
      <c r="O34" s="83"/>
      <c r="P34" s="83"/>
      <c r="Q34" s="83"/>
    </row>
    <row r="35" spans="1:17" s="81" customFormat="1" x14ac:dyDescent="0.25">
      <c r="A35" s="88"/>
      <c r="B35" s="79"/>
      <c r="C35" s="80"/>
      <c r="D35" s="82"/>
      <c r="E35" s="109"/>
      <c r="G35" s="83"/>
      <c r="H35" s="80"/>
      <c r="I35" s="131"/>
      <c r="J35" s="131"/>
      <c r="K35" s="131"/>
      <c r="L35" s="83"/>
      <c r="M35" s="503"/>
      <c r="N35" s="503"/>
      <c r="O35" s="83"/>
      <c r="P35" s="83"/>
      <c r="Q35" s="83"/>
    </row>
    <row r="36" spans="1:17" s="107" customFormat="1" x14ac:dyDescent="0.25">
      <c r="A36" s="104"/>
      <c r="B36" s="105"/>
      <c r="C36" s="106"/>
      <c r="D36" s="108"/>
      <c r="E36" s="151"/>
      <c r="H36" s="106"/>
      <c r="M36" s="504"/>
      <c r="N36" s="504"/>
    </row>
    <row r="37" spans="1:17" s="98" customFormat="1" x14ac:dyDescent="0.25">
      <c r="A37" s="15"/>
      <c r="B37" s="87"/>
      <c r="C37" s="80"/>
      <c r="D37" s="115"/>
      <c r="E37" s="116"/>
      <c r="G37" s="117"/>
      <c r="H37" s="80"/>
      <c r="J37" s="152"/>
      <c r="K37" s="153"/>
      <c r="L37" s="117"/>
      <c r="M37" s="500"/>
      <c r="N37" s="500"/>
      <c r="O37" s="117"/>
      <c r="P37" s="117"/>
      <c r="Q37" s="117"/>
    </row>
    <row r="38" spans="1:17" s="98" customFormat="1" x14ac:dyDescent="0.25">
      <c r="A38" s="15"/>
      <c r="B38" s="87"/>
      <c r="C38" s="80"/>
      <c r="D38" s="115"/>
      <c r="E38" s="116"/>
      <c r="G38" s="117"/>
      <c r="H38" s="80"/>
      <c r="K38" s="114" t="s">
        <v>144</v>
      </c>
      <c r="L38" s="117"/>
      <c r="M38" s="500"/>
      <c r="N38" s="500"/>
      <c r="O38" s="117"/>
      <c r="P38" s="117"/>
      <c r="Q38" s="117"/>
    </row>
    <row r="39" spans="1:17" s="98" customFormat="1" x14ac:dyDescent="0.25">
      <c r="A39" s="15"/>
      <c r="B39" s="121"/>
      <c r="C39" s="80"/>
      <c r="D39" s="115"/>
      <c r="E39" s="116"/>
      <c r="G39" s="117"/>
      <c r="H39" s="118">
        <f>ROUNDUP(F45,0)</f>
        <v>616</v>
      </c>
      <c r="I39" s="119" t="s">
        <v>201</v>
      </c>
      <c r="J39" s="87">
        <f>+B7*F45</f>
        <v>294.24266666666665</v>
      </c>
      <c r="K39" s="120">
        <f>+F45*G7</f>
        <v>499.57600000000002</v>
      </c>
      <c r="L39" s="117"/>
      <c r="M39" s="500"/>
      <c r="N39" s="500"/>
      <c r="O39" s="117"/>
      <c r="P39" s="117"/>
      <c r="Q39" s="117"/>
    </row>
    <row r="40" spans="1:17" s="125" customFormat="1" ht="31.5" x14ac:dyDescent="0.25">
      <c r="A40" s="653" t="s">
        <v>268</v>
      </c>
      <c r="B40" s="148" t="s">
        <v>199</v>
      </c>
      <c r="C40" s="149" t="s">
        <v>196</v>
      </c>
      <c r="D40" s="148" t="s">
        <v>197</v>
      </c>
      <c r="E40" s="122" t="s">
        <v>198</v>
      </c>
      <c r="F40" s="150" t="s">
        <v>188</v>
      </c>
      <c r="G40" s="124"/>
      <c r="H40" s="302">
        <v>0</v>
      </c>
      <c r="I40" s="62" t="s">
        <v>177</v>
      </c>
      <c r="J40" s="87">
        <f>+H40*45</f>
        <v>0</v>
      </c>
      <c r="K40" s="93">
        <f>+H40*85</f>
        <v>0</v>
      </c>
      <c r="L40" s="124"/>
      <c r="M40" s="502"/>
      <c r="N40" s="502"/>
      <c r="O40" s="124"/>
      <c r="P40" s="124"/>
      <c r="Q40" s="124"/>
    </row>
    <row r="41" spans="1:17" s="81" customFormat="1" x14ac:dyDescent="0.25">
      <c r="A41" s="78" t="s">
        <v>207</v>
      </c>
      <c r="B41" s="199" t="s">
        <v>203</v>
      </c>
      <c r="C41" s="192">
        <v>750</v>
      </c>
      <c r="D41" s="199">
        <v>22</v>
      </c>
      <c r="E41" s="145">
        <f>IF(B41="Daily",7, IF(B41="Weekly",1, IF(B41="Every Other Day",4,"")))</f>
        <v>7</v>
      </c>
      <c r="F41" s="146">
        <f>+D41*E41</f>
        <v>154</v>
      </c>
      <c r="G41" s="83"/>
      <c r="H41" s="80">
        <f>IF(E45&gt;=25, E45+2, E45+1)</f>
        <v>30</v>
      </c>
      <c r="I41" s="62" t="s">
        <v>217</v>
      </c>
      <c r="J41" s="87"/>
      <c r="K41" s="93"/>
      <c r="L41" s="83"/>
      <c r="M41" s="503"/>
      <c r="N41" s="503"/>
      <c r="O41" s="83"/>
      <c r="P41" s="83"/>
      <c r="Q41" s="83"/>
    </row>
    <row r="42" spans="1:17" s="81" customFormat="1" x14ac:dyDescent="0.25">
      <c r="A42" s="78" t="s">
        <v>208</v>
      </c>
      <c r="B42" s="199" t="s">
        <v>203</v>
      </c>
      <c r="C42" s="192">
        <v>750</v>
      </c>
      <c r="D42" s="199">
        <v>22</v>
      </c>
      <c r="E42" s="147">
        <f>IF(B42="Daily",7, IF(B42="Weekly",1, IF(B42="Every Other Day",4,"")))</f>
        <v>7</v>
      </c>
      <c r="F42" s="146">
        <f t="shared" ref="F42:F44" si="2">+D42*E42</f>
        <v>154</v>
      </c>
      <c r="G42" s="83"/>
      <c r="H42" s="80">
        <f>ROUNDUP(F46,0)</f>
        <v>3</v>
      </c>
      <c r="I42" s="62" t="s">
        <v>190</v>
      </c>
      <c r="J42" s="87"/>
      <c r="K42" s="93"/>
      <c r="L42" s="83"/>
      <c r="M42" s="503"/>
      <c r="N42" s="503"/>
      <c r="O42" s="83"/>
      <c r="P42" s="83"/>
      <c r="Q42" s="83"/>
    </row>
    <row r="43" spans="1:17" s="81" customFormat="1" x14ac:dyDescent="0.25">
      <c r="A43" s="78" t="s">
        <v>209</v>
      </c>
      <c r="B43" s="199" t="s">
        <v>203</v>
      </c>
      <c r="C43" s="192">
        <v>750</v>
      </c>
      <c r="D43" s="199">
        <v>22</v>
      </c>
      <c r="E43" s="147">
        <f>IF(B43="Daily",7, IF(B43="Weekly",1, IF(B43="Every Other Day",4,"")))</f>
        <v>7</v>
      </c>
      <c r="F43" s="146">
        <f t="shared" si="2"/>
        <v>154</v>
      </c>
      <c r="G43" s="83"/>
      <c r="H43" s="80">
        <f>H41</f>
        <v>30</v>
      </c>
      <c r="I43" s="62" t="s">
        <v>200</v>
      </c>
      <c r="J43" s="87"/>
      <c r="K43" s="93"/>
      <c r="L43" s="83"/>
      <c r="M43" s="503"/>
      <c r="N43" s="503"/>
      <c r="O43" s="83"/>
      <c r="P43" s="83"/>
      <c r="Q43" s="83"/>
    </row>
    <row r="44" spans="1:17" s="81" customFormat="1" x14ac:dyDescent="0.25">
      <c r="A44" s="100" t="s">
        <v>210</v>
      </c>
      <c r="B44" s="101" t="s">
        <v>203</v>
      </c>
      <c r="C44" s="102">
        <v>750</v>
      </c>
      <c r="D44" s="101">
        <v>22</v>
      </c>
      <c r="E44" s="144">
        <f>IF(B44="Daily",7, IF(B44="Weekly",1, IF(B44="Every Other Day",4,"")))</f>
        <v>7</v>
      </c>
      <c r="F44" s="103">
        <f t="shared" si="2"/>
        <v>154</v>
      </c>
      <c r="G44" s="83"/>
      <c r="H44" s="303">
        <v>0</v>
      </c>
      <c r="I44" s="71" t="s">
        <v>192</v>
      </c>
      <c r="J44" s="142">
        <f>H44*3.65</f>
        <v>0</v>
      </c>
      <c r="K44" s="143"/>
      <c r="L44" s="83"/>
      <c r="M44" s="503"/>
      <c r="N44" s="503"/>
      <c r="O44" s="83"/>
      <c r="P44" s="83"/>
      <c r="Q44" s="83"/>
    </row>
    <row r="45" spans="1:17" s="81" customFormat="1" x14ac:dyDescent="0.25">
      <c r="A45" s="88"/>
      <c r="B45" s="79"/>
      <c r="C45" s="80"/>
      <c r="D45" s="82"/>
      <c r="E45" s="167">
        <f>SUM(E41:E44)</f>
        <v>28</v>
      </c>
      <c r="F45" s="127">
        <f>SUM(F41:F44)</f>
        <v>616</v>
      </c>
      <c r="G45" s="83"/>
      <c r="H45" s="80"/>
      <c r="J45" s="128">
        <f>SUM(J39:J44)</f>
        <v>294.24266666666665</v>
      </c>
      <c r="K45" s="129">
        <f>ROUNDUP(SUM(K39:K44),0)</f>
        <v>500</v>
      </c>
      <c r="L45" s="83"/>
      <c r="M45" s="427" t="s">
        <v>202</v>
      </c>
      <c r="N45" s="428">
        <f>+K45-J45</f>
        <v>205.75733333333335</v>
      </c>
      <c r="O45" s="83"/>
      <c r="P45" s="83"/>
      <c r="Q45" s="83"/>
    </row>
    <row r="46" spans="1:17" s="81" customFormat="1" x14ac:dyDescent="0.25">
      <c r="A46" s="88"/>
      <c r="B46" s="79"/>
      <c r="C46" s="80"/>
      <c r="D46" s="82"/>
      <c r="E46" s="89" t="s">
        <v>204</v>
      </c>
      <c r="F46" s="110">
        <f>+F45/300</f>
        <v>2.0533333333333332</v>
      </c>
      <c r="G46" s="83"/>
      <c r="H46" s="80"/>
      <c r="I46" s="131" t="s">
        <v>189</v>
      </c>
      <c r="J46" s="113">
        <f>+J45/H39</f>
        <v>0.47766666666666663</v>
      </c>
      <c r="K46" s="112">
        <f>+K45/H39</f>
        <v>0.81168831168831168</v>
      </c>
      <c r="L46" s="83"/>
      <c r="M46" s="503"/>
      <c r="N46" s="503"/>
      <c r="O46" s="83"/>
      <c r="P46" s="83"/>
      <c r="Q46" s="83"/>
    </row>
    <row r="47" spans="1:17" s="81" customFormat="1" x14ac:dyDescent="0.25">
      <c r="A47" s="88"/>
      <c r="B47" s="79"/>
      <c r="C47" s="80"/>
      <c r="D47" s="82"/>
      <c r="E47" s="109"/>
      <c r="G47" s="83"/>
      <c r="H47" s="80"/>
      <c r="I47" s="131"/>
      <c r="J47" s="131"/>
      <c r="L47" s="83"/>
      <c r="M47" s="503"/>
      <c r="N47" s="503"/>
      <c r="O47" s="83"/>
      <c r="P47" s="83"/>
      <c r="Q47" s="83"/>
    </row>
    <row r="48" spans="1:17" s="107" customFormat="1" x14ac:dyDescent="0.25">
      <c r="A48" s="104"/>
      <c r="B48" s="105"/>
      <c r="C48" s="106"/>
      <c r="D48" s="108"/>
      <c r="E48" s="151"/>
      <c r="H48" s="106"/>
      <c r="M48" s="504"/>
      <c r="N48" s="504"/>
    </row>
    <row r="49" spans="1:18" s="98" customFormat="1" x14ac:dyDescent="0.25">
      <c r="A49" s="15"/>
      <c r="B49" s="87"/>
      <c r="C49" s="80"/>
      <c r="D49" s="115"/>
      <c r="E49" s="116"/>
      <c r="G49" s="117"/>
      <c r="H49" s="80"/>
      <c r="J49" s="152"/>
      <c r="K49" s="153"/>
      <c r="L49" s="117"/>
      <c r="M49" s="500"/>
      <c r="N49" s="500"/>
      <c r="O49" s="117"/>
      <c r="P49" s="117"/>
      <c r="Q49" s="117"/>
    </row>
    <row r="50" spans="1:18" s="98" customFormat="1" x14ac:dyDescent="0.25">
      <c r="A50" s="15"/>
      <c r="B50" s="87"/>
      <c r="C50" s="80"/>
      <c r="D50" s="115"/>
      <c r="E50" s="116"/>
      <c r="G50" s="117"/>
      <c r="H50" s="80"/>
      <c r="K50" s="114" t="s">
        <v>144</v>
      </c>
      <c r="L50" s="117"/>
      <c r="M50" s="500"/>
      <c r="N50" s="500"/>
      <c r="O50" s="117"/>
      <c r="P50" s="117"/>
      <c r="Q50" s="117"/>
    </row>
    <row r="51" spans="1:18" s="98" customFormat="1" x14ac:dyDescent="0.25">
      <c r="A51" s="15"/>
      <c r="B51" s="121"/>
      <c r="C51" s="80"/>
      <c r="D51" s="115"/>
      <c r="E51" s="116"/>
      <c r="G51" s="117"/>
      <c r="H51" s="118">
        <f>ROUNDUP(F57,0)</f>
        <v>420</v>
      </c>
      <c r="I51" s="119" t="s">
        <v>201</v>
      </c>
      <c r="J51" s="87">
        <f>+B7*F57</f>
        <v>200.62</v>
      </c>
      <c r="K51" s="120">
        <f>+F57*G7</f>
        <v>340.62</v>
      </c>
      <c r="L51" s="117"/>
      <c r="M51" s="500"/>
      <c r="N51" s="500"/>
      <c r="O51" s="117"/>
      <c r="P51" s="117"/>
      <c r="Q51" s="117"/>
    </row>
    <row r="52" spans="1:18" s="125" customFormat="1" ht="31.5" x14ac:dyDescent="0.25">
      <c r="A52" s="653" t="s">
        <v>269</v>
      </c>
      <c r="B52" s="148" t="s">
        <v>199</v>
      </c>
      <c r="C52" s="149" t="s">
        <v>196</v>
      </c>
      <c r="D52" s="148" t="s">
        <v>197</v>
      </c>
      <c r="E52" s="122" t="s">
        <v>198</v>
      </c>
      <c r="F52" s="150" t="s">
        <v>188</v>
      </c>
      <c r="G52" s="124"/>
      <c r="H52" s="302">
        <v>0</v>
      </c>
      <c r="I52" s="62" t="s">
        <v>177</v>
      </c>
      <c r="J52" s="87">
        <f>+H52*45</f>
        <v>0</v>
      </c>
      <c r="K52" s="93">
        <f>+H52*85</f>
        <v>0</v>
      </c>
      <c r="L52" s="124"/>
      <c r="M52" s="502"/>
      <c r="N52" s="502"/>
      <c r="O52" s="124"/>
      <c r="P52" s="124"/>
      <c r="Q52" s="124"/>
    </row>
    <row r="53" spans="1:18" s="81" customFormat="1" x14ac:dyDescent="0.25">
      <c r="A53" s="78" t="s">
        <v>211</v>
      </c>
      <c r="B53" s="199" t="s">
        <v>203</v>
      </c>
      <c r="C53" s="192">
        <v>500</v>
      </c>
      <c r="D53" s="199">
        <v>15</v>
      </c>
      <c r="E53" s="145">
        <f>IF(B53="Daily",7, IF(B53="Weekly",1, IF(B53="Every Other Day",4,"")))</f>
        <v>7</v>
      </c>
      <c r="F53" s="146">
        <f>+D53*E53</f>
        <v>105</v>
      </c>
      <c r="G53" s="83"/>
      <c r="H53" s="80">
        <f>IF(E57&gt;=25, E57+2, E57+1)</f>
        <v>30</v>
      </c>
      <c r="I53" s="62" t="s">
        <v>217</v>
      </c>
      <c r="J53" s="87"/>
      <c r="K53" s="93"/>
      <c r="L53" s="83"/>
      <c r="M53" s="503"/>
      <c r="N53" s="503"/>
      <c r="O53" s="83"/>
      <c r="P53" s="83"/>
      <c r="Q53" s="83"/>
    </row>
    <row r="54" spans="1:18" s="81" customFormat="1" x14ac:dyDescent="0.25">
      <c r="A54" s="78" t="s">
        <v>212</v>
      </c>
      <c r="B54" s="199" t="s">
        <v>203</v>
      </c>
      <c r="C54" s="192">
        <v>500</v>
      </c>
      <c r="D54" s="199">
        <v>15</v>
      </c>
      <c r="E54" s="147">
        <f>IF(B54="Daily",7, IF(B54="Weekly",1, IF(B54="Every Other Day",4,"")))</f>
        <v>7</v>
      </c>
      <c r="F54" s="146">
        <f t="shared" ref="F54:F56" si="3">+D54*E54</f>
        <v>105</v>
      </c>
      <c r="G54" s="83"/>
      <c r="H54" s="80">
        <f>ROUNDUP(F58,0)</f>
        <v>2</v>
      </c>
      <c r="I54" s="62" t="s">
        <v>190</v>
      </c>
      <c r="J54" s="87"/>
      <c r="K54" s="93"/>
      <c r="L54" s="83"/>
      <c r="M54" s="503"/>
      <c r="N54" s="503"/>
      <c r="O54" s="83"/>
      <c r="P54" s="83"/>
      <c r="Q54" s="83"/>
    </row>
    <row r="55" spans="1:18" s="81" customFormat="1" x14ac:dyDescent="0.25">
      <c r="A55" s="78" t="s">
        <v>213</v>
      </c>
      <c r="B55" s="199" t="s">
        <v>203</v>
      </c>
      <c r="C55" s="192">
        <v>500</v>
      </c>
      <c r="D55" s="199">
        <v>15</v>
      </c>
      <c r="E55" s="147">
        <f>IF(B55="Daily",7, IF(B55="Weekly",1, IF(B55="Every Other Day",4,"")))</f>
        <v>7</v>
      </c>
      <c r="F55" s="146">
        <f t="shared" si="3"/>
        <v>105</v>
      </c>
      <c r="G55" s="83"/>
      <c r="H55" s="80">
        <f>H53</f>
        <v>30</v>
      </c>
      <c r="I55" s="62" t="s">
        <v>200</v>
      </c>
      <c r="J55" s="87"/>
      <c r="K55" s="93"/>
      <c r="L55" s="83"/>
      <c r="M55" s="503"/>
      <c r="N55" s="503"/>
      <c r="O55" s="83"/>
      <c r="P55" s="83"/>
      <c r="Q55" s="83"/>
    </row>
    <row r="56" spans="1:18" s="81" customFormat="1" x14ac:dyDescent="0.25">
      <c r="A56" s="100" t="s">
        <v>214</v>
      </c>
      <c r="B56" s="101" t="s">
        <v>203</v>
      </c>
      <c r="C56" s="102">
        <v>500</v>
      </c>
      <c r="D56" s="101">
        <v>15</v>
      </c>
      <c r="E56" s="144">
        <f>IF(B56="Daily",7, IF(B56="Weekly",1, IF(B56="Every Other Day",4,"")))</f>
        <v>7</v>
      </c>
      <c r="F56" s="103">
        <f t="shared" si="3"/>
        <v>105</v>
      </c>
      <c r="G56" s="83"/>
      <c r="H56" s="303">
        <v>0</v>
      </c>
      <c r="I56" s="71" t="s">
        <v>192</v>
      </c>
      <c r="J56" s="142">
        <f>H56*3.65</f>
        <v>0</v>
      </c>
      <c r="K56" s="143"/>
      <c r="L56" s="83"/>
      <c r="M56" s="503"/>
      <c r="N56" s="503"/>
      <c r="O56" s="83"/>
      <c r="P56" s="83"/>
      <c r="Q56" s="83"/>
    </row>
    <row r="57" spans="1:18" s="81" customFormat="1" x14ac:dyDescent="0.25">
      <c r="A57" s="88"/>
      <c r="B57" s="79"/>
      <c r="C57" s="80"/>
      <c r="D57" s="82"/>
      <c r="E57" s="126">
        <f>SUM(E53:E56)</f>
        <v>28</v>
      </c>
      <c r="F57" s="127">
        <f>SUM(F53:F56)</f>
        <v>420</v>
      </c>
      <c r="G57" s="83"/>
      <c r="H57" s="80"/>
      <c r="J57" s="128">
        <f>SUM(J51:J56)</f>
        <v>200.62</v>
      </c>
      <c r="K57" s="129">
        <f>ROUNDUP(SUM(K51:K56),0)</f>
        <v>341</v>
      </c>
      <c r="L57" s="83"/>
      <c r="M57" s="427" t="s">
        <v>202</v>
      </c>
      <c r="N57" s="428">
        <f>+K57-J57</f>
        <v>140.38</v>
      </c>
      <c r="O57" s="83"/>
      <c r="P57" s="83"/>
      <c r="Q57" s="83"/>
    </row>
    <row r="58" spans="1:18" s="81" customFormat="1" x14ac:dyDescent="0.25">
      <c r="A58" s="88"/>
      <c r="B58" s="79"/>
      <c r="C58" s="80"/>
      <c r="D58" s="82"/>
      <c r="E58" s="89" t="s">
        <v>204</v>
      </c>
      <c r="F58" s="110">
        <f>+F57/300</f>
        <v>1.4</v>
      </c>
      <c r="G58" s="83"/>
      <c r="H58" s="80"/>
      <c r="I58" s="131" t="s">
        <v>189</v>
      </c>
      <c r="J58" s="113">
        <f>+J57/H51</f>
        <v>0.47766666666666668</v>
      </c>
      <c r="K58" s="112">
        <f>+K57/H51</f>
        <v>0.81190476190476191</v>
      </c>
      <c r="L58" s="83"/>
      <c r="M58" s="503"/>
      <c r="N58" s="503"/>
      <c r="O58" s="83"/>
      <c r="P58" s="83"/>
      <c r="Q58" s="83"/>
    </row>
    <row r="59" spans="1:18" s="81" customFormat="1" x14ac:dyDescent="0.25">
      <c r="A59" s="88"/>
      <c r="B59" s="79"/>
      <c r="C59" s="80"/>
      <c r="D59" s="82"/>
      <c r="E59" s="109"/>
      <c r="G59" s="83"/>
      <c r="H59" s="80"/>
      <c r="I59" s="131"/>
      <c r="J59" s="131"/>
      <c r="K59" s="131"/>
      <c r="L59" s="83"/>
      <c r="M59" s="503"/>
      <c r="N59" s="503"/>
      <c r="O59" s="83"/>
      <c r="P59" s="83"/>
      <c r="Q59" s="83"/>
    </row>
    <row r="60" spans="1:18" s="135" customFormat="1" x14ac:dyDescent="0.25">
      <c r="A60" s="132"/>
      <c r="B60" s="133"/>
      <c r="C60" s="134"/>
      <c r="D60" s="136"/>
      <c r="E60" s="137"/>
      <c r="H60" s="134"/>
      <c r="I60" s="138"/>
      <c r="J60" s="139"/>
      <c r="K60" s="140"/>
      <c r="M60" s="505"/>
      <c r="N60" s="505"/>
    </row>
    <row r="61" spans="1:18" s="81" customFormat="1" x14ac:dyDescent="0.25">
      <c r="A61" s="88"/>
      <c r="B61" s="79"/>
      <c r="C61" s="80"/>
      <c r="E61" s="82"/>
      <c r="F61" s="109"/>
      <c r="H61" s="83"/>
      <c r="I61" s="80"/>
      <c r="J61" s="110"/>
      <c r="K61" s="111"/>
      <c r="L61" s="112"/>
      <c r="M61" s="83"/>
      <c r="N61" s="503"/>
      <c r="O61" s="503"/>
      <c r="P61" s="83"/>
      <c r="Q61" s="83"/>
      <c r="R61" s="83"/>
    </row>
    <row r="62" spans="1:18" s="81" customFormat="1" x14ac:dyDescent="0.25">
      <c r="A62" s="654" t="s">
        <v>215</v>
      </c>
      <c r="B62" s="79" t="s">
        <v>216</v>
      </c>
      <c r="C62" s="80"/>
      <c r="E62" s="82"/>
      <c r="F62" s="109"/>
      <c r="H62" s="83"/>
      <c r="I62" s="80"/>
      <c r="J62" s="110"/>
      <c r="K62" s="111"/>
      <c r="L62" s="112"/>
      <c r="M62" s="83"/>
      <c r="N62" s="503"/>
      <c r="O62" s="503"/>
      <c r="P62" s="83"/>
      <c r="Q62" s="83"/>
      <c r="R62" s="83"/>
    </row>
    <row r="63" spans="1:18" s="81" customFormat="1" x14ac:dyDescent="0.25">
      <c r="A63" s="13" t="s">
        <v>195</v>
      </c>
      <c r="B63" s="79"/>
      <c r="C63" s="80"/>
      <c r="E63" s="82"/>
      <c r="F63" s="109"/>
      <c r="H63" s="83"/>
      <c r="I63" s="80"/>
      <c r="J63" s="110"/>
      <c r="K63" s="111"/>
      <c r="L63" s="112"/>
      <c r="M63" s="83"/>
      <c r="N63" s="503"/>
      <c r="O63" s="503"/>
      <c r="P63" s="83"/>
      <c r="Q63" s="83"/>
      <c r="R63" s="83"/>
    </row>
    <row r="64" spans="1:18" s="81" customFormat="1" x14ac:dyDescent="0.25">
      <c r="A64" s="88"/>
      <c r="B64" s="79"/>
      <c r="C64" s="80"/>
      <c r="E64" s="82"/>
      <c r="F64" s="109"/>
      <c r="H64" s="83"/>
      <c r="I64" s="80"/>
      <c r="J64" s="110"/>
      <c r="K64" s="111"/>
      <c r="L64" s="112"/>
      <c r="M64" s="83"/>
      <c r="N64" s="503"/>
      <c r="O64" s="503"/>
      <c r="P64" s="83"/>
      <c r="Q64" s="83"/>
      <c r="R64" s="83"/>
    </row>
    <row r="65" spans="1:18" s="81" customFormat="1" x14ac:dyDescent="0.25">
      <c r="A65" s="88"/>
      <c r="B65" s="79"/>
      <c r="C65" s="80"/>
      <c r="E65" s="82"/>
      <c r="F65" s="109"/>
      <c r="H65" s="83"/>
      <c r="I65" s="80"/>
      <c r="J65" s="110"/>
      <c r="K65" s="111"/>
      <c r="L65" s="112"/>
      <c r="M65" s="83"/>
      <c r="N65" s="503"/>
      <c r="O65" s="503"/>
      <c r="P65" s="83"/>
      <c r="Q65" s="83"/>
      <c r="R65" s="83"/>
    </row>
    <row r="66" spans="1:18" x14ac:dyDescent="0.25">
      <c r="N66" s="507"/>
      <c r="O66" s="507"/>
    </row>
    <row r="67" spans="1:18" x14ac:dyDescent="0.25">
      <c r="N67" s="507"/>
      <c r="O67" s="507"/>
    </row>
    <row r="68" spans="1:18" s="379" customFormat="1" x14ac:dyDescent="0.25">
      <c r="E68" s="380"/>
      <c r="G68" s="381"/>
      <c r="H68" s="382"/>
      <c r="I68" s="383"/>
      <c r="L68" s="141"/>
      <c r="N68" s="141"/>
    </row>
    <row r="69" spans="1:18" s="379" customFormat="1" x14ac:dyDescent="0.25">
      <c r="D69" s="380"/>
      <c r="F69" s="141"/>
      <c r="G69" s="382"/>
      <c r="H69" s="383"/>
      <c r="K69" s="141"/>
      <c r="N69" s="506"/>
    </row>
    <row r="70" spans="1:18" s="379" customFormat="1" x14ac:dyDescent="0.25">
      <c r="D70" s="380"/>
      <c r="F70" s="141"/>
      <c r="G70" s="382"/>
      <c r="H70" s="383"/>
      <c r="K70" s="141"/>
      <c r="N70" s="506"/>
    </row>
    <row r="71" spans="1:18" s="379" customFormat="1" x14ac:dyDescent="0.25">
      <c r="D71" s="380"/>
      <c r="F71" s="141"/>
      <c r="G71" s="382"/>
      <c r="H71" s="383"/>
      <c r="K71" s="141"/>
      <c r="N71" s="506"/>
    </row>
    <row r="72" spans="1:18" x14ac:dyDescent="0.25">
      <c r="D72" s="67"/>
      <c r="E72"/>
      <c r="F72" s="62"/>
      <c r="G72" s="13"/>
      <c r="H72" s="96"/>
      <c r="I72"/>
      <c r="K72" s="62"/>
      <c r="L72"/>
      <c r="M72" s="62"/>
    </row>
    <row r="73" spans="1:18" x14ac:dyDescent="0.25">
      <c r="A73" t="s">
        <v>351</v>
      </c>
      <c r="D73" s="67"/>
      <c r="E73" s="62"/>
      <c r="F73" s="62"/>
      <c r="G73" s="13"/>
      <c r="H73" s="96"/>
      <c r="I73" s="62"/>
      <c r="J73" s="62"/>
      <c r="K73" s="62"/>
      <c r="L73"/>
    </row>
    <row r="74" spans="1:18" ht="17.25" customHeight="1" x14ac:dyDescent="0.25">
      <c r="D74" s="532" t="s">
        <v>375</v>
      </c>
      <c r="E74" s="62"/>
      <c r="F74" s="62"/>
      <c r="G74" s="13"/>
      <c r="H74" s="96"/>
      <c r="I74" s="62"/>
      <c r="J74" s="62"/>
      <c r="K74" s="62"/>
      <c r="L74"/>
    </row>
    <row r="75" spans="1:18" s="61" customFormat="1" x14ac:dyDescent="0.25">
      <c r="A75" s="61" t="s">
        <v>368</v>
      </c>
      <c r="D75" s="61" t="s">
        <v>369</v>
      </c>
      <c r="E75" s="453"/>
      <c r="F75" s="453"/>
      <c r="G75" s="458"/>
      <c r="H75" s="459"/>
      <c r="I75" s="453"/>
      <c r="J75" s="453"/>
      <c r="K75" s="453"/>
    </row>
    <row r="76" spans="1:18" x14ac:dyDescent="0.25">
      <c r="B76" s="61"/>
      <c r="D76" s="67"/>
      <c r="E76" s="62" t="s">
        <v>366</v>
      </c>
      <c r="F76" s="461">
        <f>F57</f>
        <v>420</v>
      </c>
      <c r="G76" s="13"/>
      <c r="H76" s="96"/>
      <c r="I76" s="62"/>
      <c r="J76" s="62"/>
      <c r="K76" s="62"/>
      <c r="L76"/>
    </row>
    <row r="77" spans="1:18" x14ac:dyDescent="0.25">
      <c r="A77" s="368" t="s">
        <v>364</v>
      </c>
      <c r="B77" s="460">
        <f>N57</f>
        <v>140.38</v>
      </c>
      <c r="D77" s="67"/>
      <c r="E77" s="71" t="s">
        <v>360</v>
      </c>
      <c r="F77" s="71">
        <v>10</v>
      </c>
      <c r="G77" s="13"/>
      <c r="H77" s="96"/>
      <c r="I77" s="62"/>
      <c r="J77" s="62"/>
      <c r="K77" s="62"/>
      <c r="L77"/>
    </row>
    <row r="78" spans="1:18" x14ac:dyDescent="0.25">
      <c r="D78" s="67"/>
      <c r="E78" s="62"/>
      <c r="F78" s="62">
        <f>+F77*F76</f>
        <v>4200</v>
      </c>
      <c r="G78" s="13" t="s">
        <v>367</v>
      </c>
      <c r="H78" s="96"/>
      <c r="I78" s="62"/>
      <c r="J78" s="62"/>
      <c r="K78" s="62"/>
      <c r="L78"/>
    </row>
    <row r="79" spans="1:18" x14ac:dyDescent="0.25">
      <c r="D79" s="67"/>
      <c r="E79" s="453" t="s">
        <v>361</v>
      </c>
      <c r="F79" s="453">
        <f>ROUNDUP((F78/300),0)</f>
        <v>14</v>
      </c>
      <c r="G79" s="13"/>
      <c r="H79" s="96"/>
      <c r="I79" s="62"/>
      <c r="J79" s="62"/>
      <c r="K79" s="62"/>
      <c r="L79"/>
    </row>
    <row r="80" spans="1:18" x14ac:dyDescent="0.25">
      <c r="D80" s="67"/>
      <c r="E80" s="62" t="s">
        <v>362</v>
      </c>
      <c r="F80" s="454">
        <f>+F79*100</f>
        <v>1400</v>
      </c>
      <c r="G80" s="13"/>
      <c r="H80" s="96"/>
      <c r="I80" s="62"/>
      <c r="J80" s="62"/>
      <c r="K80" s="62"/>
      <c r="L80"/>
    </row>
    <row r="81" spans="1:12" x14ac:dyDescent="0.25">
      <c r="D81" s="67"/>
      <c r="E81" s="62"/>
      <c r="F81" s="62"/>
      <c r="G81" s="13"/>
      <c r="H81" s="96"/>
      <c r="I81" s="62"/>
      <c r="J81" s="62"/>
      <c r="K81" s="62"/>
      <c r="L81"/>
    </row>
    <row r="82" spans="1:12" x14ac:dyDescent="0.25">
      <c r="D82" s="455"/>
      <c r="E82" s="456" t="s">
        <v>363</v>
      </c>
      <c r="F82" s="457">
        <f>+F80/10</f>
        <v>140</v>
      </c>
      <c r="G82" s="13"/>
      <c r="H82" s="96"/>
      <c r="I82" s="62"/>
      <c r="J82" s="62"/>
      <c r="K82" s="62"/>
      <c r="L82"/>
    </row>
    <row r="85" spans="1:12" s="379" customFormat="1" x14ac:dyDescent="0.25">
      <c r="D85" s="380"/>
      <c r="E85" s="141"/>
      <c r="F85" s="141"/>
      <c r="G85" s="382"/>
      <c r="H85" s="383"/>
      <c r="I85" s="141"/>
      <c r="J85" s="141"/>
      <c r="K85" s="141"/>
    </row>
    <row r="86" spans="1:12" s="379" customFormat="1" x14ac:dyDescent="0.25">
      <c r="D86" s="380"/>
      <c r="E86" s="141"/>
      <c r="F86" s="141"/>
      <c r="G86" s="382"/>
      <c r="H86" s="383"/>
      <c r="I86" s="141"/>
      <c r="J86" s="141"/>
      <c r="K86" s="141"/>
    </row>
    <row r="87" spans="1:12" s="379" customFormat="1" x14ac:dyDescent="0.25">
      <c r="D87" s="380"/>
      <c r="E87" s="141"/>
      <c r="F87" s="141"/>
      <c r="G87" s="382"/>
      <c r="H87" s="383"/>
      <c r="I87" s="141"/>
      <c r="J87" s="141"/>
      <c r="K87" s="141"/>
    </row>
    <row r="88" spans="1:12" x14ac:dyDescent="0.25">
      <c r="D88" s="67"/>
      <c r="E88" s="62"/>
      <c r="F88" s="62"/>
      <c r="G88" s="13"/>
      <c r="H88" s="96"/>
      <c r="I88" s="62"/>
      <c r="J88" s="62"/>
      <c r="K88" s="62"/>
      <c r="L88"/>
    </row>
    <row r="89" spans="1:12" x14ac:dyDescent="0.25">
      <c r="D89" s="67"/>
      <c r="E89" s="62"/>
      <c r="F89" s="62"/>
      <c r="G89" s="13"/>
      <c r="H89" s="96"/>
      <c r="I89" s="62"/>
      <c r="J89" s="62"/>
      <c r="K89" s="62"/>
      <c r="L89"/>
    </row>
    <row r="90" spans="1:12" x14ac:dyDescent="0.25">
      <c r="A90" t="s">
        <v>387</v>
      </c>
      <c r="D90" s="67"/>
      <c r="E90" s="62"/>
      <c r="F90" s="62"/>
      <c r="G90" s="13"/>
      <c r="H90" t="s">
        <v>387</v>
      </c>
      <c r="I90"/>
      <c r="K90" s="67"/>
      <c r="L90"/>
    </row>
    <row r="91" spans="1:12" x14ac:dyDescent="0.25">
      <c r="A91" t="s">
        <v>388</v>
      </c>
      <c r="D91" s="67"/>
      <c r="E91" s="62"/>
      <c r="F91" s="62"/>
      <c r="G91" s="13"/>
      <c r="H91" s="64" t="s">
        <v>390</v>
      </c>
      <c r="I91"/>
      <c r="K91" s="67"/>
      <c r="L91"/>
    </row>
    <row r="92" spans="1:12" x14ac:dyDescent="0.25">
      <c r="D92" s="67"/>
      <c r="E92" s="62"/>
      <c r="F92" s="62"/>
      <c r="G92" s="13"/>
      <c r="H92"/>
      <c r="I92"/>
      <c r="K92" s="67"/>
      <c r="L92"/>
    </row>
    <row r="93" spans="1:12" s="587" customFormat="1" x14ac:dyDescent="0.25">
      <c r="B93" s="587" t="s">
        <v>389</v>
      </c>
      <c r="C93" s="64" t="s">
        <v>113</v>
      </c>
      <c r="D93" s="593" t="s">
        <v>202</v>
      </c>
      <c r="E93" s="588"/>
      <c r="F93" s="588"/>
      <c r="G93" s="589"/>
      <c r="I93" s="587" t="s">
        <v>389</v>
      </c>
      <c r="J93" s="64" t="s">
        <v>113</v>
      </c>
      <c r="K93" s="593" t="s">
        <v>202</v>
      </c>
    </row>
    <row r="94" spans="1:12" s="587" customFormat="1" x14ac:dyDescent="0.25">
      <c r="A94" s="599">
        <v>0</v>
      </c>
      <c r="B94" s="66">
        <f>K57</f>
        <v>341</v>
      </c>
      <c r="C94" s="65">
        <f>J57</f>
        <v>200.62</v>
      </c>
      <c r="D94" s="603">
        <f>+B94-C94</f>
        <v>140.38</v>
      </c>
      <c r="E94" s="588"/>
      <c r="F94" s="588"/>
      <c r="G94" s="589"/>
      <c r="H94" s="599">
        <v>0</v>
      </c>
      <c r="I94" s="602">
        <f>K33</f>
        <v>250</v>
      </c>
      <c r="J94" s="600">
        <f>J33</f>
        <v>150.77133333333333</v>
      </c>
      <c r="K94" s="601">
        <f>+I94-J94</f>
        <v>99.228666666666669</v>
      </c>
    </row>
    <row r="95" spans="1:12" s="64" customFormat="1" x14ac:dyDescent="0.25">
      <c r="A95" s="596">
        <v>0.1</v>
      </c>
      <c r="B95" s="66">
        <f>0.9*B94</f>
        <v>306.90000000000003</v>
      </c>
      <c r="C95" s="65">
        <f>C94</f>
        <v>200.62</v>
      </c>
      <c r="D95" s="603">
        <f t="shared" ref="D95:D98" si="4">+B95-C95</f>
        <v>106.28000000000003</v>
      </c>
      <c r="E95" s="225"/>
      <c r="F95" s="225"/>
      <c r="G95" s="591"/>
      <c r="H95" s="596">
        <v>0.1</v>
      </c>
      <c r="I95" s="587">
        <f>0.9*I94</f>
        <v>225</v>
      </c>
      <c r="J95" s="600">
        <f>J94</f>
        <v>150.77133333333333</v>
      </c>
      <c r="K95" s="601">
        <f t="shared" ref="K95:K98" si="5">+I95-J95</f>
        <v>74.228666666666669</v>
      </c>
    </row>
    <row r="96" spans="1:12" s="507" customFormat="1" x14ac:dyDescent="0.25">
      <c r="A96" s="597">
        <v>0.15</v>
      </c>
      <c r="B96" s="66">
        <f>+B94*0.85</f>
        <v>289.84999999999997</v>
      </c>
      <c r="C96" s="65">
        <f t="shared" ref="C96:C98" si="6">C95</f>
        <v>200.62</v>
      </c>
      <c r="D96" s="603">
        <f t="shared" si="4"/>
        <v>89.229999999999961</v>
      </c>
      <c r="E96" s="498"/>
      <c r="F96" s="498"/>
      <c r="G96" s="594"/>
      <c r="H96" s="597">
        <v>0.15</v>
      </c>
      <c r="I96" s="587">
        <f>+I94*0.85</f>
        <v>212.5</v>
      </c>
      <c r="J96" s="600">
        <f t="shared" ref="J96:J98" si="7">J95</f>
        <v>150.77133333333333</v>
      </c>
      <c r="K96" s="601">
        <f t="shared" si="5"/>
        <v>61.728666666666669</v>
      </c>
    </row>
    <row r="97" spans="1:12" x14ac:dyDescent="0.25">
      <c r="A97" s="598">
        <v>0.2</v>
      </c>
      <c r="B97" s="66">
        <f>0.8*B94</f>
        <v>272.8</v>
      </c>
      <c r="C97" s="65">
        <f t="shared" si="6"/>
        <v>200.62</v>
      </c>
      <c r="D97" s="604">
        <f t="shared" si="4"/>
        <v>72.180000000000007</v>
      </c>
      <c r="E97" s="62"/>
      <c r="F97" s="62"/>
      <c r="G97" s="13"/>
      <c r="H97" s="598">
        <v>0.2</v>
      </c>
      <c r="I97" s="587">
        <f>0.8*I94</f>
        <v>200</v>
      </c>
      <c r="J97" s="600">
        <f t="shared" si="7"/>
        <v>150.77133333333333</v>
      </c>
      <c r="K97" s="601">
        <f t="shared" si="5"/>
        <v>49.228666666666669</v>
      </c>
      <c r="L97"/>
    </row>
    <row r="98" spans="1:12" x14ac:dyDescent="0.25">
      <c r="A98" s="598">
        <v>0.25</v>
      </c>
      <c r="B98" s="66">
        <f>0.75*B94</f>
        <v>255.75</v>
      </c>
      <c r="C98" s="65">
        <f t="shared" si="6"/>
        <v>200.62</v>
      </c>
      <c r="D98" s="604">
        <f t="shared" si="4"/>
        <v>55.129999999999995</v>
      </c>
      <c r="E98" s="62"/>
      <c r="F98" s="62"/>
      <c r="G98" s="13"/>
      <c r="H98" s="598">
        <v>0.25</v>
      </c>
      <c r="I98" s="587">
        <f>0.755*I94</f>
        <v>188.75</v>
      </c>
      <c r="J98" s="600">
        <f t="shared" si="7"/>
        <v>150.77133333333333</v>
      </c>
      <c r="K98" s="601">
        <f t="shared" si="5"/>
        <v>37.978666666666669</v>
      </c>
      <c r="L98"/>
    </row>
  </sheetData>
  <mergeCells count="1">
    <mergeCell ref="C4:D4"/>
  </mergeCells>
  <dataValidations count="2">
    <dataValidation type="list" allowBlank="1" showInputMessage="1" showErrorMessage="1" sqref="B29:B32 B41:B44 B53:B56" xr:uid="{C5BEDE5D-D61F-4500-8414-B3BF15C4E86F}">
      <formula1>$N$1:$N$3</formula1>
    </dataValidation>
    <dataValidation type="list" allowBlank="1" showInputMessage="1" showErrorMessage="1" sqref="B16:B19" xr:uid="{A6D34257-3DA7-4645-8650-D5FA45256A9E}">
      <formula1>$O$1:$O$3</formula1>
    </dataValidation>
  </dataValidations>
  <pageMargins left="0.7" right="0.7" top="0.75" bottom="0.75" header="0.3" footer="0.3"/>
  <pageSetup scale="62" fitToHeight="1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1F76D-B931-48A0-A1EB-D0D1A88E6000}">
  <sheetPr codeName="Sheet16">
    <pageSetUpPr fitToPage="1"/>
  </sheetPr>
  <dimension ref="A1:S104"/>
  <sheetViews>
    <sheetView topLeftCell="A40" workbookViewId="0">
      <selection activeCell="A65" sqref="A65"/>
    </sheetView>
  </sheetViews>
  <sheetFormatPr defaultColWidth="12.125" defaultRowHeight="15.75" x14ac:dyDescent="0.25"/>
  <cols>
    <col min="1" max="1" width="9.375" customWidth="1"/>
    <col min="5" max="5" width="12.125" style="67"/>
    <col min="7" max="7" width="12.125" style="95"/>
    <col min="8" max="8" width="12.125" style="13"/>
    <col min="9" max="9" width="12.125" style="96"/>
    <col min="12" max="12" width="12.125" style="62"/>
    <col min="14" max="15" width="12.125" style="62"/>
  </cols>
  <sheetData>
    <row r="1" spans="1:19" ht="30.75" customHeight="1" x14ac:dyDescent="0.55000000000000004">
      <c r="A1" s="234" t="s">
        <v>290</v>
      </c>
      <c r="B1" s="236"/>
      <c r="C1" s="236"/>
      <c r="D1" s="236"/>
      <c r="E1" s="556"/>
      <c r="F1" s="557"/>
      <c r="G1" s="558"/>
      <c r="H1" s="559"/>
      <c r="I1" s="117"/>
      <c r="J1" s="287"/>
      <c r="K1" s="287"/>
      <c r="L1" s="117"/>
      <c r="M1" s="117"/>
      <c r="O1" s="389" t="s">
        <v>203</v>
      </c>
    </row>
    <row r="2" spans="1:19" s="98" customFormat="1" x14ac:dyDescent="0.25">
      <c r="A2" s="87"/>
      <c r="B2" s="200">
        <f>'Pep Costs'!B36</f>
        <v>45</v>
      </c>
      <c r="C2" s="87" t="s">
        <v>142</v>
      </c>
      <c r="D2" s="87"/>
      <c r="E2" s="538"/>
      <c r="F2" s="538"/>
      <c r="G2" s="538"/>
      <c r="H2" s="538"/>
      <c r="I2" s="117"/>
      <c r="J2" s="429"/>
      <c r="K2" s="430"/>
      <c r="L2" s="471"/>
      <c r="M2" s="117"/>
      <c r="N2" s="119"/>
      <c r="O2" s="490" t="s">
        <v>187</v>
      </c>
      <c r="P2" s="117"/>
      <c r="Q2" s="117"/>
      <c r="R2" s="117"/>
      <c r="S2" s="117"/>
    </row>
    <row r="3" spans="1:19" s="98" customFormat="1" x14ac:dyDescent="0.25">
      <c r="A3" s="87"/>
      <c r="B3" s="170">
        <v>3.3</v>
      </c>
      <c r="C3" s="170" t="s">
        <v>185</v>
      </c>
      <c r="D3" s="87"/>
      <c r="E3" s="538"/>
      <c r="F3" s="538"/>
      <c r="G3" s="538"/>
      <c r="H3" s="538"/>
      <c r="I3" s="117"/>
      <c r="J3" s="117"/>
      <c r="K3" s="117"/>
      <c r="L3" s="152"/>
      <c r="M3" s="117"/>
      <c r="N3" s="119"/>
      <c r="O3" s="490" t="s">
        <v>206</v>
      </c>
      <c r="P3" s="117"/>
      <c r="Q3" s="117"/>
      <c r="R3" s="117"/>
      <c r="S3" s="117"/>
    </row>
    <row r="4" spans="1:19" s="98" customFormat="1" ht="31.5" customHeight="1" x14ac:dyDescent="0.4">
      <c r="A4" s="87"/>
      <c r="B4" s="142">
        <v>15</v>
      </c>
      <c r="C4" s="656" t="s">
        <v>230</v>
      </c>
      <c r="D4" s="665"/>
      <c r="E4" s="539"/>
      <c r="F4" s="561" t="s">
        <v>349</v>
      </c>
      <c r="G4" s="562" t="s">
        <v>144</v>
      </c>
      <c r="H4" s="538"/>
      <c r="I4" s="117"/>
      <c r="J4" s="158"/>
      <c r="K4" s="117"/>
      <c r="L4" s="152"/>
      <c r="M4" s="117"/>
      <c r="N4" s="119"/>
      <c r="O4" s="519"/>
      <c r="P4" s="117"/>
      <c r="Q4" s="117"/>
      <c r="R4" s="117"/>
      <c r="S4" s="117"/>
    </row>
    <row r="5" spans="1:19" s="98" customFormat="1" x14ac:dyDescent="0.25">
      <c r="A5" s="314"/>
      <c r="B5" s="87">
        <f>SUM(B2:B4)</f>
        <v>63.3</v>
      </c>
      <c r="C5" s="87"/>
      <c r="D5" s="87"/>
      <c r="E5" s="539"/>
      <c r="F5" s="538">
        <v>100</v>
      </c>
      <c r="G5" s="543">
        <f>+F5+B5</f>
        <v>163.30000000000001</v>
      </c>
      <c r="H5" s="538"/>
      <c r="I5" s="117"/>
      <c r="J5" s="158"/>
      <c r="K5" s="117"/>
      <c r="L5" s="152"/>
      <c r="M5" s="117"/>
      <c r="N5" s="119"/>
      <c r="O5" s="119"/>
      <c r="P5" s="117"/>
      <c r="Q5" s="117"/>
      <c r="R5" s="117"/>
      <c r="S5" s="117"/>
    </row>
    <row r="6" spans="1:19" s="98" customFormat="1" x14ac:dyDescent="0.25">
      <c r="A6" s="87"/>
      <c r="B6" s="87"/>
      <c r="C6" s="87"/>
      <c r="D6" s="87"/>
      <c r="E6" s="538"/>
      <c r="F6" s="538"/>
      <c r="G6" s="543"/>
      <c r="H6" s="560"/>
      <c r="I6" s="117"/>
      <c r="J6" s="158"/>
      <c r="K6" s="117"/>
      <c r="L6" s="152"/>
      <c r="M6" s="153"/>
      <c r="N6" s="289"/>
      <c r="O6" s="289"/>
      <c r="P6" s="117"/>
      <c r="Q6" s="117"/>
      <c r="R6" s="117"/>
      <c r="S6" s="117"/>
    </row>
    <row r="7" spans="1:19" s="98" customFormat="1" x14ac:dyDescent="0.25">
      <c r="A7" s="225" t="s">
        <v>189</v>
      </c>
      <c r="B7" s="87">
        <f>+B5/300</f>
        <v>0.21099999999999999</v>
      </c>
      <c r="C7" s="87"/>
      <c r="D7" s="87"/>
      <c r="E7" s="541"/>
      <c r="F7" s="541" t="s">
        <v>189</v>
      </c>
      <c r="G7" s="542">
        <f>+G5/300</f>
        <v>0.54433333333333334</v>
      </c>
      <c r="H7" s="538"/>
      <c r="I7" s="80"/>
      <c r="K7" s="152"/>
      <c r="L7" s="153"/>
      <c r="M7" s="117"/>
      <c r="N7" s="289"/>
      <c r="O7" s="289"/>
      <c r="P7" s="117"/>
      <c r="Q7" s="117"/>
      <c r="R7" s="117"/>
    </row>
    <row r="8" spans="1:19" s="98" customFormat="1" x14ac:dyDescent="0.25">
      <c r="A8" s="62"/>
      <c r="B8" s="87"/>
      <c r="E8" s="541"/>
      <c r="F8" s="541"/>
      <c r="G8" s="540"/>
      <c r="H8" s="538"/>
      <c r="I8" s="80"/>
      <c r="K8" s="152"/>
      <c r="L8" s="153"/>
      <c r="M8" s="117"/>
      <c r="N8" s="289"/>
      <c r="O8" s="289"/>
      <c r="P8" s="117"/>
      <c r="Q8" s="117"/>
      <c r="R8" s="117"/>
    </row>
    <row r="9" spans="1:19" s="161" customFormat="1" x14ac:dyDescent="0.25">
      <c r="A9" s="141"/>
      <c r="B9" s="160"/>
      <c r="D9" s="307"/>
      <c r="E9" s="238"/>
      <c r="F9" s="239"/>
      <c r="H9" s="164"/>
      <c r="J9" s="165"/>
      <c r="K9" s="166"/>
      <c r="M9" s="401"/>
      <c r="N9" s="401"/>
    </row>
    <row r="10" spans="1:19" s="161" customFormat="1" x14ac:dyDescent="0.25">
      <c r="A10" s="159"/>
      <c r="B10" s="160"/>
      <c r="D10" s="162"/>
      <c r="E10" s="163"/>
      <c r="H10" s="164"/>
      <c r="J10" s="165"/>
      <c r="K10" s="166"/>
      <c r="M10" s="401"/>
      <c r="N10" s="401"/>
    </row>
    <row r="11" spans="1:19" s="174" customFormat="1" x14ac:dyDescent="0.25">
      <c r="A11" s="171"/>
      <c r="B11" s="172"/>
      <c r="C11" s="173"/>
      <c r="D11" s="175"/>
      <c r="E11" s="176"/>
      <c r="F11" s="177"/>
      <c r="G11" s="172"/>
      <c r="H11" s="178"/>
      <c r="I11" s="179"/>
      <c r="J11" s="180"/>
      <c r="K11" s="181"/>
      <c r="L11" s="186"/>
      <c r="M11" s="186"/>
      <c r="N11" s="520"/>
      <c r="O11" s="187"/>
      <c r="P11" s="188"/>
    </row>
    <row r="12" spans="1:19" s="83" customFormat="1" x14ac:dyDescent="0.25">
      <c r="B12" s="90"/>
      <c r="C12" s="158"/>
      <c r="D12" s="189"/>
      <c r="E12" s="190"/>
      <c r="F12" s="191"/>
      <c r="G12" s="90"/>
      <c r="H12" s="84"/>
      <c r="I12" s="85"/>
      <c r="J12" s="86"/>
      <c r="K12" s="91"/>
      <c r="L12" s="85"/>
      <c r="M12" s="451"/>
      <c r="N12" s="492"/>
    </row>
    <row r="13" spans="1:19" s="98" customFormat="1" x14ac:dyDescent="0.25">
      <c r="A13" s="168" t="s">
        <v>218</v>
      </c>
      <c r="B13" s="87"/>
      <c r="C13" s="80"/>
      <c r="D13" s="115"/>
      <c r="E13" s="116"/>
      <c r="G13" s="117"/>
      <c r="H13" s="80"/>
      <c r="J13" s="152"/>
      <c r="K13" s="153"/>
      <c r="L13" s="117"/>
      <c r="M13" s="289"/>
      <c r="N13" s="289"/>
      <c r="O13" s="117"/>
      <c r="P13" s="117"/>
      <c r="Q13" s="117"/>
    </row>
    <row r="14" spans="1:19" s="98" customFormat="1" x14ac:dyDescent="0.25">
      <c r="A14" s="15"/>
      <c r="B14" s="87"/>
      <c r="C14" s="80"/>
      <c r="D14" s="115"/>
      <c r="E14" s="116"/>
      <c r="G14" s="117"/>
      <c r="H14" s="80"/>
      <c r="K14" s="280" t="s">
        <v>144</v>
      </c>
      <c r="L14" s="117"/>
      <c r="M14" s="289"/>
      <c r="N14" s="289"/>
      <c r="O14" s="117"/>
      <c r="P14" s="117"/>
      <c r="Q14" s="117"/>
    </row>
    <row r="15" spans="1:19" s="98" customFormat="1" x14ac:dyDescent="0.25">
      <c r="A15" s="15"/>
      <c r="B15" s="121"/>
      <c r="C15" s="80"/>
      <c r="D15" s="115"/>
      <c r="E15" s="116"/>
      <c r="G15" s="117"/>
      <c r="H15" s="261">
        <f>ROUNDUP(F21,0)</f>
        <v>162</v>
      </c>
      <c r="I15" s="262" t="s">
        <v>201</v>
      </c>
      <c r="J15" s="87">
        <f>+B7*F21</f>
        <v>34.182000000000002</v>
      </c>
      <c r="K15" s="264">
        <f>+F21*G7</f>
        <v>88.182000000000002</v>
      </c>
      <c r="L15" s="117"/>
      <c r="M15" s="289"/>
      <c r="N15" s="289"/>
      <c r="O15" s="117"/>
      <c r="P15" s="117"/>
      <c r="Q15" s="117"/>
    </row>
    <row r="16" spans="1:19" s="125" customFormat="1" ht="63" x14ac:dyDescent="0.25">
      <c r="A16" s="182"/>
      <c r="B16" s="183" t="s">
        <v>199</v>
      </c>
      <c r="C16" s="184" t="s">
        <v>196</v>
      </c>
      <c r="D16" s="183" t="s">
        <v>197</v>
      </c>
      <c r="E16" s="169" t="s">
        <v>198</v>
      </c>
      <c r="F16" s="185" t="s">
        <v>188</v>
      </c>
      <c r="G16" s="124"/>
      <c r="H16" s="265">
        <v>0</v>
      </c>
      <c r="I16" s="309" t="s">
        <v>177</v>
      </c>
      <c r="J16" s="310">
        <f>+H16*45</f>
        <v>0</v>
      </c>
      <c r="K16" s="311">
        <f>+H16*85</f>
        <v>0</v>
      </c>
      <c r="L16" s="359" t="s">
        <v>291</v>
      </c>
      <c r="M16" s="432"/>
      <c r="N16" s="432"/>
      <c r="O16" s="124"/>
      <c r="P16" s="124"/>
      <c r="Q16" s="124"/>
    </row>
    <row r="17" spans="1:17" s="81" customFormat="1" x14ac:dyDescent="0.25">
      <c r="A17" s="306" t="s">
        <v>219</v>
      </c>
      <c r="B17" s="251" t="s">
        <v>203</v>
      </c>
      <c r="C17" s="252"/>
      <c r="D17" s="251">
        <v>6</v>
      </c>
      <c r="E17" s="254">
        <f>IF(B17="Daily",7, IF(B17="Weekly",1, IF(B17="Every Other Day",4,"")))</f>
        <v>7</v>
      </c>
      <c r="F17" s="255">
        <f>+D17*E17</f>
        <v>42</v>
      </c>
      <c r="G17" s="83"/>
      <c r="H17" s="266">
        <f>IF(E21&gt;=25, E21+2, E21+1)</f>
        <v>20</v>
      </c>
      <c r="I17" s="305" t="s">
        <v>217</v>
      </c>
      <c r="J17" s="87"/>
      <c r="K17" s="263"/>
      <c r="L17" s="83"/>
      <c r="M17" s="492"/>
      <c r="N17" s="492"/>
      <c r="O17" s="83"/>
      <c r="P17" s="83"/>
      <c r="Q17" s="83"/>
    </row>
    <row r="18" spans="1:17" s="81" customFormat="1" x14ac:dyDescent="0.25">
      <c r="A18" s="306" t="s">
        <v>219</v>
      </c>
      <c r="B18" s="251" t="s">
        <v>187</v>
      </c>
      <c r="C18" s="252"/>
      <c r="D18" s="251">
        <v>6</v>
      </c>
      <c r="E18" s="256">
        <f>IF(B18="Daily",7, IF(B18="Weekly",1, IF(B18="Every Other Day",4,"")))</f>
        <v>4</v>
      </c>
      <c r="F18" s="255">
        <f t="shared" ref="F18:F20" si="0">+D18*E18</f>
        <v>24</v>
      </c>
      <c r="G18" s="83"/>
      <c r="H18" s="266">
        <f>ROUNDUP(F22,0)</f>
        <v>1</v>
      </c>
      <c r="I18" s="305" t="s">
        <v>190</v>
      </c>
      <c r="J18" s="87"/>
      <c r="K18" s="263"/>
      <c r="L18" s="83"/>
      <c r="M18" s="492"/>
      <c r="N18" s="492"/>
      <c r="O18" s="83"/>
      <c r="P18" s="83"/>
      <c r="Q18" s="83"/>
    </row>
    <row r="19" spans="1:17" s="81" customFormat="1" x14ac:dyDescent="0.25">
      <c r="A19" s="306" t="s">
        <v>219</v>
      </c>
      <c r="B19" s="251" t="s">
        <v>203</v>
      </c>
      <c r="C19" s="252"/>
      <c r="D19" s="251">
        <v>12</v>
      </c>
      <c r="E19" s="256">
        <f>IF(B19="Daily",7, IF(B19="Weekly",1, IF(B19="Every Other Day",4,"")))</f>
        <v>7</v>
      </c>
      <c r="F19" s="255">
        <f t="shared" si="0"/>
        <v>84</v>
      </c>
      <c r="G19" s="83"/>
      <c r="H19" s="266">
        <f>H17</f>
        <v>20</v>
      </c>
      <c r="I19" s="305" t="s">
        <v>200</v>
      </c>
      <c r="J19" s="87"/>
      <c r="K19" s="263"/>
      <c r="L19" s="83"/>
      <c r="M19" s="522"/>
      <c r="N19" s="522"/>
      <c r="O19" s="83"/>
      <c r="P19" s="83"/>
      <c r="Q19" s="83"/>
    </row>
    <row r="20" spans="1:17" s="81" customFormat="1" x14ac:dyDescent="0.25">
      <c r="A20" s="306" t="s">
        <v>219</v>
      </c>
      <c r="B20" s="257" t="s">
        <v>206</v>
      </c>
      <c r="C20" s="258"/>
      <c r="D20" s="257">
        <v>12</v>
      </c>
      <c r="E20" s="259">
        <f>IF(B20="Daily",7, IF(B20="Weekly",1, IF(B20="Every Other Day",4,"")))</f>
        <v>1</v>
      </c>
      <c r="F20" s="260">
        <f t="shared" si="0"/>
        <v>12</v>
      </c>
      <c r="G20" s="83"/>
      <c r="H20" s="252">
        <v>0</v>
      </c>
      <c r="I20" s="304" t="s">
        <v>192</v>
      </c>
      <c r="J20" s="142">
        <f>H20*3.65</f>
        <v>0</v>
      </c>
      <c r="K20" s="267"/>
      <c r="L20" s="83"/>
      <c r="M20" s="522"/>
      <c r="N20" s="522"/>
      <c r="O20" s="83"/>
      <c r="P20" s="83"/>
      <c r="Q20" s="83"/>
    </row>
    <row r="21" spans="1:17" s="81" customFormat="1" x14ac:dyDescent="0.25">
      <c r="A21" s="88"/>
      <c r="B21" s="79"/>
      <c r="C21" s="80"/>
      <c r="D21" s="82"/>
      <c r="E21" s="167">
        <f>SUM(E17:E20)</f>
        <v>19</v>
      </c>
      <c r="F21" s="279">
        <f>SUM(F17:F20)</f>
        <v>162</v>
      </c>
      <c r="G21" s="83"/>
      <c r="H21" s="266"/>
      <c r="I21" s="253"/>
      <c r="J21" s="128">
        <f>SUM(J15:J20)</f>
        <v>34.182000000000002</v>
      </c>
      <c r="K21" s="269">
        <f>ROUNDUP(SUM(K15:K20),0)</f>
        <v>89</v>
      </c>
      <c r="L21" s="83"/>
      <c r="M21" s="522" t="s">
        <v>202</v>
      </c>
      <c r="N21" s="522">
        <f>+K21-J21</f>
        <v>54.817999999999998</v>
      </c>
      <c r="O21" s="83"/>
      <c r="P21" s="83"/>
      <c r="Q21" s="83"/>
    </row>
    <row r="22" spans="1:17" s="81" customFormat="1" x14ac:dyDescent="0.25">
      <c r="A22" s="88"/>
      <c r="B22" s="79"/>
      <c r="C22" s="80"/>
      <c r="D22" s="82"/>
      <c r="E22" s="441" t="s">
        <v>204</v>
      </c>
      <c r="F22" s="484">
        <f>+F21/300</f>
        <v>0.54</v>
      </c>
      <c r="G22" s="83"/>
      <c r="H22" s="80"/>
      <c r="I22" s="131" t="s">
        <v>189</v>
      </c>
      <c r="J22" s="113">
        <f>+J21/H15</f>
        <v>0.21100000000000002</v>
      </c>
      <c r="K22" s="112">
        <f>+K21/H15</f>
        <v>0.54938271604938271</v>
      </c>
      <c r="L22" s="83"/>
      <c r="M22" s="522"/>
      <c r="N22" s="522"/>
      <c r="O22" s="83"/>
      <c r="P22" s="83"/>
      <c r="Q22" s="83"/>
    </row>
    <row r="23" spans="1:17" s="81" customFormat="1" x14ac:dyDescent="0.25">
      <c r="A23" s="88"/>
      <c r="B23" s="79"/>
      <c r="C23" s="80"/>
      <c r="D23" s="82"/>
      <c r="E23" s="89"/>
      <c r="F23" s="110"/>
      <c r="G23" s="83"/>
      <c r="H23" s="80"/>
      <c r="I23" s="131"/>
      <c r="J23" s="113"/>
      <c r="K23" s="112"/>
      <c r="L23" s="83"/>
      <c r="M23" s="522"/>
      <c r="N23" s="522"/>
      <c r="O23" s="83"/>
      <c r="P23" s="83"/>
      <c r="Q23" s="83"/>
    </row>
    <row r="24" spans="1:17" s="174" customFormat="1" x14ac:dyDescent="0.25">
      <c r="A24" s="171"/>
      <c r="B24" s="172"/>
      <c r="C24" s="173"/>
      <c r="D24" s="175"/>
      <c r="E24" s="176"/>
      <c r="F24" s="247"/>
      <c r="H24" s="173"/>
      <c r="I24" s="247"/>
      <c r="J24" s="250"/>
      <c r="K24" s="249"/>
      <c r="M24" s="527"/>
      <c r="N24" s="527"/>
    </row>
    <row r="25" spans="1:17" s="273" customFormat="1" x14ac:dyDescent="0.25">
      <c r="A25" s="312"/>
      <c r="B25" s="272"/>
      <c r="C25" s="164"/>
      <c r="D25" s="274"/>
      <c r="E25" s="275"/>
      <c r="F25" s="276"/>
      <c r="H25" s="164"/>
      <c r="I25" s="276"/>
      <c r="J25" s="277"/>
      <c r="K25" s="278"/>
      <c r="M25" s="528"/>
      <c r="N25" s="528"/>
    </row>
    <row r="26" spans="1:17" s="273" customFormat="1" x14ac:dyDescent="0.25">
      <c r="A26" s="312"/>
      <c r="B26" s="272"/>
      <c r="C26" s="164"/>
      <c r="D26" s="274"/>
      <c r="E26" s="275"/>
      <c r="F26" s="276"/>
      <c r="H26" s="164"/>
      <c r="I26" s="276"/>
      <c r="J26" s="277"/>
      <c r="K26" s="278"/>
      <c r="M26" s="528"/>
      <c r="N26" s="528"/>
    </row>
    <row r="27" spans="1:17" s="81" customFormat="1" x14ac:dyDescent="0.25">
      <c r="A27" s="88"/>
      <c r="B27" s="79"/>
      <c r="C27" s="80"/>
      <c r="D27" s="82"/>
      <c r="E27" s="109"/>
      <c r="G27" s="83"/>
      <c r="H27" s="80"/>
      <c r="I27" s="131"/>
      <c r="J27" s="131"/>
      <c r="K27" s="131"/>
      <c r="L27" s="83"/>
      <c r="M27" s="522"/>
      <c r="N27" s="522"/>
      <c r="O27" s="83"/>
      <c r="P27" s="83"/>
      <c r="Q27" s="83"/>
    </row>
    <row r="28" spans="1:17" s="81" customFormat="1" x14ac:dyDescent="0.25">
      <c r="A28" s="88"/>
      <c r="B28" s="79"/>
      <c r="C28" s="80"/>
      <c r="D28" s="82"/>
      <c r="E28" s="109"/>
      <c r="G28" s="83"/>
      <c r="H28" s="80"/>
      <c r="I28" s="110" t="s">
        <v>202</v>
      </c>
      <c r="J28" s="111"/>
      <c r="K28" s="112">
        <f>+K21-G69</f>
        <v>89</v>
      </c>
      <c r="L28" s="83"/>
      <c r="M28" s="522"/>
      <c r="N28" s="522"/>
      <c r="O28" s="83"/>
      <c r="P28" s="83"/>
      <c r="Q28" s="83"/>
    </row>
    <row r="29" spans="1:17" s="98" customFormat="1" x14ac:dyDescent="0.25">
      <c r="A29" s="15"/>
      <c r="B29" s="87"/>
      <c r="C29" s="80"/>
      <c r="D29" s="115"/>
      <c r="E29" s="116"/>
      <c r="G29" s="117"/>
      <c r="H29" s="80"/>
      <c r="K29" s="114" t="s">
        <v>144</v>
      </c>
      <c r="L29" s="117"/>
      <c r="M29" s="428"/>
      <c r="N29" s="428"/>
      <c r="O29" s="117"/>
      <c r="P29" s="117"/>
      <c r="Q29" s="117"/>
    </row>
    <row r="30" spans="1:17" s="98" customFormat="1" x14ac:dyDescent="0.25">
      <c r="A30" s="15"/>
      <c r="B30" s="121"/>
      <c r="C30" s="80"/>
      <c r="D30" s="115"/>
      <c r="E30" s="116"/>
      <c r="G30" s="117"/>
      <c r="H30" s="118">
        <f>ROUNDUP(F36,0)</f>
        <v>252</v>
      </c>
      <c r="I30" s="119" t="s">
        <v>201</v>
      </c>
      <c r="J30" s="87">
        <f>F36*B7</f>
        <v>53.171999999999997</v>
      </c>
      <c r="K30" s="120">
        <f>+F36*G7</f>
        <v>137.172</v>
      </c>
      <c r="L30" s="117"/>
      <c r="M30" s="428"/>
      <c r="N30" s="428"/>
      <c r="O30" s="117"/>
      <c r="P30" s="117"/>
      <c r="Q30" s="117"/>
    </row>
    <row r="31" spans="1:17" s="125" customFormat="1" ht="31.5" x14ac:dyDescent="0.25">
      <c r="A31" s="653" t="s">
        <v>266</v>
      </c>
      <c r="B31" s="148" t="s">
        <v>199</v>
      </c>
      <c r="C31" s="149" t="s">
        <v>196</v>
      </c>
      <c r="D31" s="148" t="s">
        <v>197</v>
      </c>
      <c r="E31" s="122" t="s">
        <v>198</v>
      </c>
      <c r="F31" s="150" t="s">
        <v>188</v>
      </c>
      <c r="G31" s="124"/>
      <c r="H31" s="302">
        <v>0</v>
      </c>
      <c r="I31" s="62" t="s">
        <v>177</v>
      </c>
      <c r="J31" s="87">
        <f>+H31*45</f>
        <v>0</v>
      </c>
      <c r="K31" s="93">
        <f>H31*85</f>
        <v>0</v>
      </c>
      <c r="L31" s="360" t="s">
        <v>291</v>
      </c>
      <c r="M31" s="526"/>
      <c r="N31" s="526"/>
      <c r="O31" s="124"/>
      <c r="P31" s="124"/>
      <c r="Q31" s="124"/>
    </row>
    <row r="32" spans="1:17" s="81" customFormat="1" x14ac:dyDescent="0.25">
      <c r="A32" s="78" t="s">
        <v>108</v>
      </c>
      <c r="B32" s="199" t="s">
        <v>203</v>
      </c>
      <c r="C32" s="192">
        <v>200</v>
      </c>
      <c r="D32" s="199">
        <v>6</v>
      </c>
      <c r="E32" s="145">
        <f>IF(B32="Daily",7, IF(B32="Weekly",1, IF(B32="Every Other Day",4,"")))</f>
        <v>7</v>
      </c>
      <c r="F32" s="146">
        <f>+D32*E32</f>
        <v>42</v>
      </c>
      <c r="G32" s="83"/>
      <c r="H32" s="80">
        <f>IF(E36&gt;=25, E36+2, E36+1)</f>
        <v>30</v>
      </c>
      <c r="I32" s="62" t="s">
        <v>217</v>
      </c>
      <c r="J32" s="87"/>
      <c r="K32" s="93"/>
      <c r="L32" s="83"/>
      <c r="M32" s="522"/>
      <c r="N32" s="522"/>
      <c r="O32" s="83"/>
      <c r="P32" s="83"/>
      <c r="Q32" s="83"/>
    </row>
    <row r="33" spans="1:17" s="81" customFormat="1" x14ac:dyDescent="0.25">
      <c r="A33" s="78" t="s">
        <v>109</v>
      </c>
      <c r="B33" s="199" t="s">
        <v>203</v>
      </c>
      <c r="C33" s="192">
        <v>200</v>
      </c>
      <c r="D33" s="199">
        <v>6</v>
      </c>
      <c r="E33" s="147">
        <f>IF(B33="Daily",7, IF(B33="Weekly",1, IF(B33="Every Other Day",4,"")))</f>
        <v>7</v>
      </c>
      <c r="F33" s="146">
        <f t="shared" ref="F33:F35" si="1">+D33*E33</f>
        <v>42</v>
      </c>
      <c r="G33" s="83"/>
      <c r="H33" s="80">
        <f>ROUNDUP(F37,0)</f>
        <v>1</v>
      </c>
      <c r="I33" s="62" t="s">
        <v>190</v>
      </c>
      <c r="J33" s="87"/>
      <c r="K33" s="93"/>
      <c r="L33" s="83"/>
      <c r="M33" s="522"/>
      <c r="N33" s="522"/>
      <c r="O33" s="83"/>
      <c r="P33" s="83"/>
      <c r="Q33" s="83"/>
    </row>
    <row r="34" spans="1:17" s="81" customFormat="1" x14ac:dyDescent="0.25">
      <c r="A34" s="78" t="s">
        <v>110</v>
      </c>
      <c r="B34" s="199" t="s">
        <v>203</v>
      </c>
      <c r="C34" s="192">
        <v>400</v>
      </c>
      <c r="D34" s="199">
        <v>12</v>
      </c>
      <c r="E34" s="147">
        <f>IF(B34="Daily",7, IF(B34="Weekly",1, IF(B34="Every Other Day",4,"")))</f>
        <v>7</v>
      </c>
      <c r="F34" s="146">
        <f t="shared" si="1"/>
        <v>84</v>
      </c>
      <c r="G34" s="83"/>
      <c r="H34" s="80">
        <f>H32</f>
        <v>30</v>
      </c>
      <c r="I34" s="62" t="s">
        <v>200</v>
      </c>
      <c r="J34" s="87"/>
      <c r="K34" s="93"/>
      <c r="L34" s="83"/>
      <c r="M34" s="522"/>
      <c r="N34" s="522"/>
      <c r="O34" s="83"/>
      <c r="P34" s="83"/>
      <c r="Q34" s="83"/>
    </row>
    <row r="35" spans="1:17" s="81" customFormat="1" x14ac:dyDescent="0.25">
      <c r="A35" s="100" t="s">
        <v>141</v>
      </c>
      <c r="B35" s="101" t="s">
        <v>203</v>
      </c>
      <c r="C35" s="102">
        <v>400</v>
      </c>
      <c r="D35" s="101">
        <v>12</v>
      </c>
      <c r="E35" s="144">
        <f>IF(B35="Daily",7, IF(B35="Weekly",1, IF(B35="Every Other Day",4,"")))</f>
        <v>7</v>
      </c>
      <c r="F35" s="103">
        <f t="shared" si="1"/>
        <v>84</v>
      </c>
      <c r="G35" s="83"/>
      <c r="H35" s="303">
        <v>1</v>
      </c>
      <c r="I35" s="71" t="s">
        <v>192</v>
      </c>
      <c r="J35" s="142">
        <f>H35*3.65</f>
        <v>3.65</v>
      </c>
      <c r="K35" s="143"/>
      <c r="L35" s="83"/>
      <c r="M35" s="522"/>
      <c r="N35" s="522"/>
      <c r="O35" s="83"/>
      <c r="P35" s="83"/>
      <c r="Q35" s="83"/>
    </row>
    <row r="36" spans="1:17" s="81" customFormat="1" x14ac:dyDescent="0.25">
      <c r="A36" s="88"/>
      <c r="B36" s="79"/>
      <c r="C36" s="80"/>
      <c r="D36" s="82"/>
      <c r="E36" s="167">
        <f>SUM(E32:E35)</f>
        <v>28</v>
      </c>
      <c r="F36" s="127">
        <f>SUM(F32:F35)</f>
        <v>252</v>
      </c>
      <c r="G36" s="83"/>
      <c r="H36" s="80"/>
      <c r="J36" s="128">
        <f>SUM(J30:J35)</f>
        <v>56.821999999999996</v>
      </c>
      <c r="K36" s="129">
        <f>ROUNDUP(SUM(K30:K35),0)</f>
        <v>138</v>
      </c>
      <c r="L36" s="83"/>
      <c r="M36" s="433" t="s">
        <v>202</v>
      </c>
      <c r="N36" s="428">
        <f>+K36-J36</f>
        <v>81.177999999999997</v>
      </c>
      <c r="O36" s="83"/>
      <c r="P36" s="83"/>
      <c r="Q36" s="83"/>
    </row>
    <row r="37" spans="1:17" s="81" customFormat="1" x14ac:dyDescent="0.25">
      <c r="A37" s="88"/>
      <c r="B37" s="79"/>
      <c r="C37" s="80"/>
      <c r="D37" s="82"/>
      <c r="E37" s="89" t="s">
        <v>204</v>
      </c>
      <c r="F37" s="110">
        <f>+F36/300</f>
        <v>0.84</v>
      </c>
      <c r="G37" s="83"/>
      <c r="H37" s="80"/>
      <c r="I37" s="131" t="s">
        <v>189</v>
      </c>
      <c r="J37" s="113">
        <f>+J36/H30</f>
        <v>0.22548412698412695</v>
      </c>
      <c r="K37" s="112">
        <f>+K36/H30</f>
        <v>0.54761904761904767</v>
      </c>
      <c r="L37" s="83"/>
      <c r="M37" s="522"/>
      <c r="N37" s="522"/>
      <c r="O37" s="83"/>
      <c r="P37" s="83"/>
      <c r="Q37" s="83"/>
    </row>
    <row r="38" spans="1:17" s="81" customFormat="1" x14ac:dyDescent="0.25">
      <c r="A38" s="88"/>
      <c r="B38" s="79"/>
      <c r="C38" s="80"/>
      <c r="D38" s="82"/>
      <c r="E38" s="109"/>
      <c r="G38" s="83"/>
      <c r="H38" s="80"/>
      <c r="L38" s="83"/>
      <c r="M38" s="522"/>
      <c r="N38" s="522"/>
      <c r="O38" s="83"/>
      <c r="P38" s="83"/>
      <c r="Q38" s="83"/>
    </row>
    <row r="39" spans="1:17" s="107" customFormat="1" x14ac:dyDescent="0.25">
      <c r="A39" s="104"/>
      <c r="B39" s="105"/>
      <c r="C39" s="106"/>
      <c r="D39" s="108"/>
      <c r="E39" s="151"/>
      <c r="H39" s="106"/>
      <c r="M39" s="529"/>
      <c r="N39" s="529"/>
    </row>
    <row r="40" spans="1:17" s="98" customFormat="1" x14ac:dyDescent="0.25">
      <c r="A40" s="15"/>
      <c r="B40" s="87"/>
      <c r="C40" s="80"/>
      <c r="D40" s="115"/>
      <c r="E40" s="116"/>
      <c r="G40" s="117"/>
      <c r="H40" s="80"/>
      <c r="J40" s="152"/>
      <c r="K40" s="153"/>
      <c r="L40" s="117"/>
      <c r="M40" s="428"/>
      <c r="N40" s="428"/>
      <c r="O40" s="117"/>
      <c r="P40" s="117"/>
      <c r="Q40" s="117"/>
    </row>
    <row r="41" spans="1:17" s="98" customFormat="1" x14ac:dyDescent="0.25">
      <c r="A41" s="15"/>
      <c r="B41" s="87"/>
      <c r="C41" s="80"/>
      <c r="D41" s="115"/>
      <c r="E41" s="116"/>
      <c r="G41" s="117"/>
      <c r="H41" s="80"/>
      <c r="K41" s="114" t="s">
        <v>144</v>
      </c>
      <c r="L41" s="117"/>
      <c r="M41" s="428"/>
      <c r="N41" s="428"/>
      <c r="O41" s="117"/>
      <c r="P41" s="117"/>
      <c r="Q41" s="117"/>
    </row>
    <row r="42" spans="1:17" s="98" customFormat="1" x14ac:dyDescent="0.25">
      <c r="A42" s="15"/>
      <c r="B42" s="121"/>
      <c r="C42" s="80"/>
      <c r="D42" s="115"/>
      <c r="E42" s="116"/>
      <c r="G42" s="117"/>
      <c r="H42" s="118">
        <f>ROUNDUP(F48,0)</f>
        <v>588</v>
      </c>
      <c r="I42" s="119" t="s">
        <v>201</v>
      </c>
      <c r="J42" s="87">
        <f>+B7*F48</f>
        <v>124.068</v>
      </c>
      <c r="K42" s="120">
        <f>+F48*G7</f>
        <v>320.06799999999998</v>
      </c>
      <c r="L42" s="117"/>
      <c r="M42" s="428"/>
      <c r="N42" s="428"/>
      <c r="O42" s="117"/>
      <c r="P42" s="117"/>
      <c r="Q42" s="117"/>
    </row>
    <row r="43" spans="1:17" s="125" customFormat="1" ht="31.5" x14ac:dyDescent="0.25">
      <c r="A43" s="653" t="s">
        <v>268</v>
      </c>
      <c r="B43" s="148" t="s">
        <v>199</v>
      </c>
      <c r="C43" s="149" t="s">
        <v>196</v>
      </c>
      <c r="D43" s="148" t="s">
        <v>197</v>
      </c>
      <c r="E43" s="122" t="s">
        <v>198</v>
      </c>
      <c r="F43" s="150" t="s">
        <v>188</v>
      </c>
      <c r="G43" s="124"/>
      <c r="H43" s="302">
        <v>0</v>
      </c>
      <c r="I43" s="62" t="s">
        <v>177</v>
      </c>
      <c r="J43" s="87">
        <f>+H43*45</f>
        <v>0</v>
      </c>
      <c r="K43" s="93">
        <f>+H43*85</f>
        <v>0</v>
      </c>
      <c r="L43" s="124"/>
      <c r="M43" s="526"/>
      <c r="N43" s="526"/>
      <c r="O43" s="124"/>
      <c r="P43" s="124"/>
      <c r="Q43" s="124"/>
    </row>
    <row r="44" spans="1:17" s="81" customFormat="1" x14ac:dyDescent="0.25">
      <c r="A44" s="78" t="s">
        <v>207</v>
      </c>
      <c r="B44" s="199" t="s">
        <v>203</v>
      </c>
      <c r="C44" s="192">
        <v>600</v>
      </c>
      <c r="D44" s="199">
        <v>18</v>
      </c>
      <c r="E44" s="145">
        <f>IF(B44="Daily",7, IF(B44="Weekly",1, IF(B44="Every Other Day",4,"")))</f>
        <v>7</v>
      </c>
      <c r="F44" s="146">
        <f>+D44*E44</f>
        <v>126</v>
      </c>
      <c r="G44" s="83"/>
      <c r="H44" s="80">
        <f>IF(E48&gt;=25, E48+2, E48+1)</f>
        <v>30</v>
      </c>
      <c r="I44" s="62" t="s">
        <v>217</v>
      </c>
      <c r="J44" s="87"/>
      <c r="K44" s="93"/>
      <c r="L44" s="83"/>
      <c r="M44" s="522"/>
      <c r="N44" s="522"/>
      <c r="O44" s="83"/>
      <c r="P44" s="83"/>
      <c r="Q44" s="83"/>
    </row>
    <row r="45" spans="1:17" s="81" customFormat="1" x14ac:dyDescent="0.25">
      <c r="A45" s="78" t="s">
        <v>208</v>
      </c>
      <c r="B45" s="199" t="s">
        <v>203</v>
      </c>
      <c r="C45" s="192">
        <v>600</v>
      </c>
      <c r="D45" s="199">
        <v>18</v>
      </c>
      <c r="E45" s="147">
        <f>IF(B45="Daily",7, IF(B45="Weekly",1, IF(B45="Every Other Day",4,"")))</f>
        <v>7</v>
      </c>
      <c r="F45" s="146">
        <f t="shared" ref="F45:F47" si="2">+D45*E45</f>
        <v>126</v>
      </c>
      <c r="G45" s="83">
        <f>+F36+F44+F45</f>
        <v>504</v>
      </c>
      <c r="H45" s="80">
        <f>ROUNDUP(F49,0)</f>
        <v>2</v>
      </c>
      <c r="I45" s="62" t="s">
        <v>190</v>
      </c>
      <c r="J45" s="87"/>
      <c r="K45" s="93"/>
      <c r="L45" s="83"/>
      <c r="M45" s="522"/>
      <c r="N45" s="522"/>
      <c r="O45" s="83"/>
      <c r="P45" s="83"/>
      <c r="Q45" s="83"/>
    </row>
    <row r="46" spans="1:17" s="81" customFormat="1" x14ac:dyDescent="0.25">
      <c r="A46" s="78" t="s">
        <v>209</v>
      </c>
      <c r="B46" s="199" t="s">
        <v>203</v>
      </c>
      <c r="C46" s="192">
        <v>800</v>
      </c>
      <c r="D46" s="199">
        <v>24</v>
      </c>
      <c r="E46" s="147">
        <f>IF(B46="Daily",7, IF(B46="Weekly",1, IF(B46="Every Other Day",4,"")))</f>
        <v>7</v>
      </c>
      <c r="F46" s="146">
        <f t="shared" si="2"/>
        <v>168</v>
      </c>
      <c r="G46" s="83">
        <f>+G45+F46</f>
        <v>672</v>
      </c>
      <c r="H46" s="80">
        <f>H44</f>
        <v>30</v>
      </c>
      <c r="I46" s="62" t="s">
        <v>200</v>
      </c>
      <c r="J46" s="87"/>
      <c r="K46" s="93"/>
      <c r="L46" s="83"/>
      <c r="M46" s="522"/>
      <c r="N46" s="522"/>
      <c r="O46" s="83"/>
      <c r="P46" s="83"/>
      <c r="Q46" s="83"/>
    </row>
    <row r="47" spans="1:17" s="81" customFormat="1" x14ac:dyDescent="0.25">
      <c r="A47" s="100" t="s">
        <v>210</v>
      </c>
      <c r="B47" s="101" t="s">
        <v>203</v>
      </c>
      <c r="C47" s="102">
        <v>800</v>
      </c>
      <c r="D47" s="101">
        <v>24</v>
      </c>
      <c r="E47" s="144">
        <f>IF(B47="Daily",7, IF(B47="Weekly",1, IF(B47="Every Other Day",4,"")))</f>
        <v>7</v>
      </c>
      <c r="F47" s="103">
        <f t="shared" si="2"/>
        <v>168</v>
      </c>
      <c r="G47" s="83"/>
      <c r="H47" s="303">
        <v>0</v>
      </c>
      <c r="I47" s="71" t="s">
        <v>192</v>
      </c>
      <c r="J47" s="142">
        <f>H47*3.65</f>
        <v>0</v>
      </c>
      <c r="K47" s="143"/>
      <c r="L47" s="83"/>
      <c r="M47" s="522"/>
      <c r="N47" s="522"/>
      <c r="O47" s="83"/>
      <c r="P47" s="83"/>
      <c r="Q47" s="83"/>
    </row>
    <row r="48" spans="1:17" s="81" customFormat="1" x14ac:dyDescent="0.25">
      <c r="A48" s="88"/>
      <c r="B48" s="79"/>
      <c r="C48" s="80"/>
      <c r="D48" s="82"/>
      <c r="E48" s="167">
        <f>SUM(E44:E47)</f>
        <v>28</v>
      </c>
      <c r="F48" s="127">
        <f>SUM(F44:F47)</f>
        <v>588</v>
      </c>
      <c r="G48" s="83"/>
      <c r="H48" s="80"/>
      <c r="J48" s="128">
        <f>SUM(J42:J47)</f>
        <v>124.068</v>
      </c>
      <c r="K48" s="129">
        <f>ROUNDUP(SUM(K42:K47),0)</f>
        <v>321</v>
      </c>
      <c r="L48" s="83"/>
      <c r="M48" s="433" t="s">
        <v>202</v>
      </c>
      <c r="N48" s="428">
        <f>+K48-J48</f>
        <v>196.93200000000002</v>
      </c>
      <c r="O48" s="83"/>
      <c r="P48" s="83"/>
      <c r="Q48" s="83"/>
    </row>
    <row r="49" spans="1:18" s="81" customFormat="1" x14ac:dyDescent="0.25">
      <c r="A49" s="88"/>
      <c r="B49" s="79"/>
      <c r="C49" s="80"/>
      <c r="D49" s="82"/>
      <c r="E49" s="89" t="s">
        <v>204</v>
      </c>
      <c r="F49" s="110">
        <f>+F48/300</f>
        <v>1.96</v>
      </c>
      <c r="G49" s="83"/>
      <c r="H49" s="80"/>
      <c r="I49" s="131" t="s">
        <v>189</v>
      </c>
      <c r="J49" s="113">
        <f>+J48/H42</f>
        <v>0.21099999999999999</v>
      </c>
      <c r="K49" s="112">
        <f>+K48/H42</f>
        <v>0.54591836734693877</v>
      </c>
      <c r="L49" s="83"/>
      <c r="M49" s="522"/>
      <c r="N49" s="522"/>
      <c r="O49" s="83"/>
      <c r="P49" s="83"/>
      <c r="Q49" s="83"/>
    </row>
    <row r="50" spans="1:18" s="81" customFormat="1" x14ac:dyDescent="0.25">
      <c r="A50" s="88"/>
      <c r="B50" s="79"/>
      <c r="C50" s="80"/>
      <c r="D50" s="82"/>
      <c r="E50" s="109"/>
      <c r="G50" s="83"/>
      <c r="H50" s="80"/>
      <c r="I50" s="131"/>
      <c r="J50" s="131"/>
      <c r="K50" s="131"/>
      <c r="L50" s="83"/>
      <c r="M50" s="522"/>
      <c r="N50" s="522"/>
      <c r="O50" s="83"/>
      <c r="P50" s="83"/>
      <c r="Q50" s="83"/>
    </row>
    <row r="51" spans="1:18" s="107" customFormat="1" x14ac:dyDescent="0.25">
      <c r="A51" s="104"/>
      <c r="B51" s="105"/>
      <c r="C51" s="106"/>
      <c r="D51" s="108"/>
      <c r="E51" s="151"/>
      <c r="H51" s="106"/>
      <c r="M51" s="529"/>
      <c r="N51" s="529"/>
    </row>
    <row r="52" spans="1:18" s="98" customFormat="1" x14ac:dyDescent="0.25">
      <c r="A52" s="15"/>
      <c r="B52" s="87"/>
      <c r="C52" s="80"/>
      <c r="D52" s="115"/>
      <c r="E52" s="116"/>
      <c r="G52" s="117"/>
      <c r="H52" s="80"/>
      <c r="J52" s="152"/>
      <c r="K52" s="153"/>
      <c r="L52" s="117"/>
      <c r="M52" s="428"/>
      <c r="N52" s="428"/>
      <c r="O52" s="117"/>
      <c r="P52" s="117"/>
      <c r="Q52" s="117"/>
    </row>
    <row r="53" spans="1:18" s="98" customFormat="1" x14ac:dyDescent="0.25">
      <c r="A53" s="15"/>
      <c r="B53" s="87"/>
      <c r="C53" s="80"/>
      <c r="D53" s="115"/>
      <c r="E53" s="116"/>
      <c r="G53" s="117"/>
      <c r="H53" s="80"/>
      <c r="K53" s="114" t="s">
        <v>144</v>
      </c>
      <c r="L53" s="117"/>
      <c r="M53" s="428"/>
      <c r="N53" s="428"/>
      <c r="O53" s="117"/>
      <c r="P53" s="117"/>
      <c r="Q53" s="117"/>
    </row>
    <row r="54" spans="1:18" s="98" customFormat="1" x14ac:dyDescent="0.25">
      <c r="A54" s="15"/>
      <c r="B54" s="121"/>
      <c r="C54" s="80"/>
      <c r="D54" s="115"/>
      <c r="E54" s="116"/>
      <c r="G54" s="117"/>
      <c r="H54" s="118">
        <f>ROUNDUP(F60,0)</f>
        <v>840</v>
      </c>
      <c r="I54" s="119" t="s">
        <v>201</v>
      </c>
      <c r="J54" s="87">
        <f>+B7*F60</f>
        <v>177.23999999999998</v>
      </c>
      <c r="K54" s="120">
        <f>+F60*G7</f>
        <v>457.24</v>
      </c>
      <c r="L54" s="117"/>
      <c r="M54" s="428"/>
      <c r="N54" s="428"/>
      <c r="O54" s="117"/>
      <c r="P54" s="117"/>
      <c r="Q54" s="117"/>
    </row>
    <row r="55" spans="1:18" s="125" customFormat="1" ht="31.5" x14ac:dyDescent="0.25">
      <c r="A55" s="653" t="s">
        <v>269</v>
      </c>
      <c r="B55" s="148" t="s">
        <v>199</v>
      </c>
      <c r="C55" s="149" t="s">
        <v>196</v>
      </c>
      <c r="D55" s="148" t="s">
        <v>197</v>
      </c>
      <c r="E55" s="122" t="s">
        <v>198</v>
      </c>
      <c r="F55" s="150" t="s">
        <v>188</v>
      </c>
      <c r="G55" s="124"/>
      <c r="H55" s="302">
        <v>0</v>
      </c>
      <c r="I55" s="62" t="s">
        <v>177</v>
      </c>
      <c r="J55" s="87">
        <f>+H55*45</f>
        <v>0</v>
      </c>
      <c r="K55" s="93">
        <f>+H55*85</f>
        <v>0</v>
      </c>
      <c r="L55" s="124"/>
      <c r="M55" s="526"/>
      <c r="N55" s="526"/>
      <c r="O55" s="124"/>
      <c r="P55" s="124"/>
      <c r="Q55" s="124"/>
    </row>
    <row r="56" spans="1:18" s="81" customFormat="1" x14ac:dyDescent="0.25">
      <c r="A56" s="78" t="s">
        <v>211</v>
      </c>
      <c r="B56" s="199" t="s">
        <v>203</v>
      </c>
      <c r="C56" s="192">
        <v>1000</v>
      </c>
      <c r="D56" s="199">
        <v>30</v>
      </c>
      <c r="E56" s="145">
        <f>IF(B56="Daily",7, IF(B56="Weekly",1, IF(B56="Every Other Day",4,"")))</f>
        <v>7</v>
      </c>
      <c r="F56" s="146">
        <f>+D56*E56</f>
        <v>210</v>
      </c>
      <c r="G56" s="83"/>
      <c r="H56" s="80">
        <f>IF(E60&gt;=25, E60+2, E60+1)</f>
        <v>30</v>
      </c>
      <c r="I56" s="62" t="s">
        <v>217</v>
      </c>
      <c r="J56" s="87"/>
      <c r="K56" s="93"/>
      <c r="L56" s="83"/>
      <c r="M56" s="522"/>
      <c r="N56" s="522"/>
      <c r="O56" s="83"/>
      <c r="P56" s="83"/>
      <c r="Q56" s="83"/>
    </row>
    <row r="57" spans="1:18" s="81" customFormat="1" x14ac:dyDescent="0.25">
      <c r="A57" s="78" t="s">
        <v>212</v>
      </c>
      <c r="B57" s="199" t="s">
        <v>203</v>
      </c>
      <c r="C57" s="192">
        <v>1000</v>
      </c>
      <c r="D57" s="199">
        <v>30</v>
      </c>
      <c r="E57" s="147">
        <f>IF(B57="Daily",7, IF(B57="Weekly",1, IF(B57="Every Other Day",4,"")))</f>
        <v>7</v>
      </c>
      <c r="F57" s="146">
        <f t="shared" ref="F57:F59" si="3">+D57*E57</f>
        <v>210</v>
      </c>
      <c r="G57" s="83"/>
      <c r="H57" s="80">
        <f>ROUNDUP(F61,0)</f>
        <v>3</v>
      </c>
      <c r="I57" s="62" t="s">
        <v>190</v>
      </c>
      <c r="J57" s="87"/>
      <c r="K57" s="93"/>
      <c r="L57" s="83"/>
      <c r="M57" s="522"/>
      <c r="N57" s="522"/>
      <c r="O57" s="83"/>
      <c r="P57" s="83"/>
      <c r="Q57" s="83"/>
    </row>
    <row r="58" spans="1:18" s="81" customFormat="1" x14ac:dyDescent="0.25">
      <c r="A58" s="78" t="s">
        <v>213</v>
      </c>
      <c r="B58" s="199" t="s">
        <v>203</v>
      </c>
      <c r="C58" s="192">
        <v>1000</v>
      </c>
      <c r="D58" s="199">
        <v>30</v>
      </c>
      <c r="E58" s="147">
        <f>IF(B58="Daily",7, IF(B58="Weekly",1, IF(B58="Every Other Day",4,"")))</f>
        <v>7</v>
      </c>
      <c r="F58" s="146">
        <f t="shared" si="3"/>
        <v>210</v>
      </c>
      <c r="G58" s="83"/>
      <c r="H58" s="80">
        <f>H56</f>
        <v>30</v>
      </c>
      <c r="I58" s="62" t="s">
        <v>200</v>
      </c>
      <c r="J58" s="87"/>
      <c r="K58" s="93"/>
      <c r="L58" s="83"/>
      <c r="M58" s="522"/>
      <c r="N58" s="522"/>
      <c r="O58" s="83"/>
      <c r="P58" s="83"/>
      <c r="Q58" s="83"/>
    </row>
    <row r="59" spans="1:18" s="81" customFormat="1" x14ac:dyDescent="0.25">
      <c r="A59" s="100" t="s">
        <v>214</v>
      </c>
      <c r="B59" s="101" t="s">
        <v>203</v>
      </c>
      <c r="C59" s="102">
        <v>1000</v>
      </c>
      <c r="D59" s="101">
        <v>30</v>
      </c>
      <c r="E59" s="144">
        <f>IF(B59="Daily",7, IF(B59="Weekly",1, IF(B59="Every Other Day",4,"")))</f>
        <v>7</v>
      </c>
      <c r="F59" s="103">
        <f t="shared" si="3"/>
        <v>210</v>
      </c>
      <c r="G59" s="83"/>
      <c r="H59" s="303">
        <v>0</v>
      </c>
      <c r="I59" s="71" t="s">
        <v>192</v>
      </c>
      <c r="J59" s="142">
        <f>H59*3.65</f>
        <v>0</v>
      </c>
      <c r="K59" s="143"/>
      <c r="L59" s="83"/>
      <c r="M59" s="522"/>
      <c r="N59" s="522"/>
      <c r="O59" s="83"/>
      <c r="P59" s="83"/>
      <c r="Q59" s="83"/>
    </row>
    <row r="60" spans="1:18" s="81" customFormat="1" x14ac:dyDescent="0.25">
      <c r="A60" s="88"/>
      <c r="B60" s="79"/>
      <c r="C60" s="80"/>
      <c r="D60" s="82"/>
      <c r="E60" s="126">
        <f>SUM(E56:E59)</f>
        <v>28</v>
      </c>
      <c r="F60" s="127">
        <f>SUM(F56:F59)</f>
        <v>840</v>
      </c>
      <c r="G60" s="83"/>
      <c r="H60" s="80"/>
      <c r="J60" s="128">
        <f>SUM(J54:J59)</f>
        <v>177.23999999999998</v>
      </c>
      <c r="K60" s="129">
        <f>ROUNDUP(SUM(K54:K59),0)</f>
        <v>458</v>
      </c>
      <c r="L60" s="83"/>
      <c r="M60" s="433" t="s">
        <v>202</v>
      </c>
      <c r="N60" s="428">
        <f>+K60-J60</f>
        <v>280.76</v>
      </c>
      <c r="O60" s="83"/>
      <c r="P60" s="83"/>
      <c r="Q60" s="83"/>
    </row>
    <row r="61" spans="1:18" s="81" customFormat="1" x14ac:dyDescent="0.25">
      <c r="A61" s="88"/>
      <c r="B61" s="79"/>
      <c r="C61" s="80"/>
      <c r="D61" s="82"/>
      <c r="E61" s="89" t="s">
        <v>204</v>
      </c>
      <c r="F61" s="110">
        <f>+F60/300</f>
        <v>2.8</v>
      </c>
      <c r="G61" s="83"/>
      <c r="H61" s="80"/>
      <c r="I61" s="131" t="s">
        <v>189</v>
      </c>
      <c r="J61" s="113">
        <f>+J60/H54</f>
        <v>0.21099999999999997</v>
      </c>
      <c r="K61" s="112">
        <f>+K60/H54</f>
        <v>0.54523809523809519</v>
      </c>
      <c r="L61" s="83"/>
      <c r="M61" s="522"/>
      <c r="N61" s="522"/>
      <c r="O61" s="83"/>
      <c r="P61" s="83"/>
      <c r="Q61" s="83"/>
    </row>
    <row r="62" spans="1:18" s="81" customFormat="1" x14ac:dyDescent="0.25">
      <c r="A62" s="88"/>
      <c r="B62" s="79"/>
      <c r="C62" s="80"/>
      <c r="D62" s="82"/>
      <c r="E62" s="109"/>
      <c r="G62" s="83"/>
      <c r="H62" s="80"/>
      <c r="I62" s="131"/>
      <c r="J62" s="131"/>
      <c r="K62" s="131"/>
      <c r="L62" s="83"/>
      <c r="M62" s="522"/>
      <c r="N62" s="522"/>
      <c r="O62" s="83"/>
      <c r="P62" s="83"/>
      <c r="Q62" s="83"/>
    </row>
    <row r="63" spans="1:18" s="135" customFormat="1" x14ac:dyDescent="0.25">
      <c r="A63" s="132"/>
      <c r="B63" s="133"/>
      <c r="C63" s="134"/>
      <c r="D63" s="136"/>
      <c r="E63" s="137"/>
      <c r="H63" s="134"/>
      <c r="I63" s="138"/>
      <c r="J63" s="139"/>
      <c r="K63" s="140"/>
      <c r="M63" s="530"/>
      <c r="N63" s="530"/>
    </row>
    <row r="64" spans="1:18" s="81" customFormat="1" x14ac:dyDescent="0.25">
      <c r="A64" s="88"/>
      <c r="B64" s="79"/>
      <c r="C64" s="80"/>
      <c r="E64" s="82"/>
      <c r="F64" s="109"/>
      <c r="H64" s="83"/>
      <c r="I64" s="80"/>
      <c r="J64" s="110"/>
      <c r="K64" s="111"/>
      <c r="L64" s="112"/>
      <c r="M64" s="83"/>
      <c r="N64" s="522"/>
      <c r="O64" s="522"/>
      <c r="P64" s="83"/>
      <c r="Q64" s="83"/>
      <c r="R64" s="83"/>
    </row>
    <row r="65" spans="1:18" s="81" customFormat="1" x14ac:dyDescent="0.25">
      <c r="A65" s="654" t="s">
        <v>215</v>
      </c>
      <c r="B65" s="79" t="s">
        <v>216</v>
      </c>
      <c r="C65" s="80"/>
      <c r="E65" s="82"/>
      <c r="F65" s="109"/>
      <c r="H65" s="83"/>
      <c r="I65" s="80"/>
      <c r="J65" s="110"/>
      <c r="K65" s="111"/>
      <c r="L65" s="112"/>
      <c r="M65" s="83"/>
      <c r="N65" s="522"/>
      <c r="O65" s="522"/>
      <c r="P65" s="83"/>
      <c r="Q65" s="83"/>
      <c r="R65" s="83"/>
    </row>
    <row r="66" spans="1:18" s="81" customFormat="1" x14ac:dyDescent="0.25">
      <c r="A66" s="13" t="s">
        <v>195</v>
      </c>
      <c r="B66" s="79"/>
      <c r="C66" s="80"/>
      <c r="E66" s="82"/>
      <c r="F66" s="109"/>
      <c r="H66" s="83"/>
      <c r="I66" s="80"/>
      <c r="J66" s="110"/>
      <c r="K66" s="111"/>
      <c r="L66" s="112"/>
      <c r="M66" s="83"/>
      <c r="N66" s="522"/>
      <c r="O66" s="522"/>
      <c r="P66" s="83"/>
      <c r="Q66" s="83"/>
      <c r="R66" s="83"/>
    </row>
    <row r="67" spans="1:18" s="81" customFormat="1" x14ac:dyDescent="0.25">
      <c r="A67" s="88"/>
      <c r="B67" s="79"/>
      <c r="C67" s="80"/>
      <c r="E67" s="82"/>
      <c r="F67" s="109"/>
      <c r="H67" s="83"/>
      <c r="I67" s="80"/>
      <c r="J67" s="110"/>
      <c r="K67" s="111"/>
      <c r="L67" s="112"/>
      <c r="M67" s="83"/>
      <c r="N67" s="522"/>
      <c r="O67" s="522"/>
      <c r="P67" s="83"/>
      <c r="Q67" s="83"/>
      <c r="R67" s="83"/>
    </row>
    <row r="68" spans="1:18" s="379" customFormat="1" x14ac:dyDescent="0.25">
      <c r="E68" s="380"/>
      <c r="G68" s="381"/>
      <c r="H68" s="382"/>
      <c r="I68" s="383"/>
      <c r="L68" s="141"/>
      <c r="N68" s="141"/>
    </row>
    <row r="69" spans="1:18" s="379" customFormat="1" x14ac:dyDescent="0.25">
      <c r="D69" s="380"/>
      <c r="F69" s="141"/>
      <c r="G69" s="382"/>
      <c r="H69" s="383"/>
      <c r="K69" s="141"/>
      <c r="N69" s="506"/>
    </row>
    <row r="70" spans="1:18" s="379" customFormat="1" x14ac:dyDescent="0.25">
      <c r="D70" s="380"/>
      <c r="F70" s="141"/>
      <c r="G70" s="382"/>
      <c r="H70" s="383"/>
      <c r="K70" s="141"/>
      <c r="N70" s="506"/>
    </row>
    <row r="71" spans="1:18" s="379" customFormat="1" x14ac:dyDescent="0.25">
      <c r="D71" s="380"/>
      <c r="F71" s="141"/>
      <c r="G71" s="382"/>
      <c r="H71" s="383"/>
      <c r="K71" s="141"/>
      <c r="N71" s="506"/>
    </row>
    <row r="72" spans="1:18" x14ac:dyDescent="0.25">
      <c r="D72" s="67"/>
      <c r="E72"/>
      <c r="F72" s="62"/>
      <c r="G72" s="13"/>
      <c r="H72" s="96"/>
      <c r="I72"/>
      <c r="K72" s="62"/>
      <c r="L72"/>
      <c r="M72" s="62"/>
      <c r="N72"/>
      <c r="O72"/>
    </row>
    <row r="73" spans="1:18" x14ac:dyDescent="0.25">
      <c r="A73" t="s">
        <v>351</v>
      </c>
      <c r="D73" s="67"/>
      <c r="E73" s="62"/>
      <c r="F73" s="62"/>
      <c r="G73" s="13"/>
      <c r="H73" s="96"/>
      <c r="I73" s="62"/>
      <c r="J73" s="62"/>
      <c r="K73" s="62"/>
      <c r="L73"/>
      <c r="N73"/>
      <c r="O73"/>
    </row>
    <row r="74" spans="1:18" ht="17.25" customHeight="1" x14ac:dyDescent="0.25">
      <c r="D74" s="532" t="s">
        <v>375</v>
      </c>
      <c r="E74" s="62"/>
      <c r="F74" s="62"/>
      <c r="G74" s="13"/>
      <c r="H74" s="96"/>
      <c r="I74" s="62"/>
      <c r="J74" s="62"/>
      <c r="K74" s="62"/>
      <c r="L74"/>
      <c r="N74"/>
      <c r="O74"/>
    </row>
    <row r="75" spans="1:18" s="61" customFormat="1" x14ac:dyDescent="0.25">
      <c r="A75" s="61" t="s">
        <v>368</v>
      </c>
      <c r="D75" s="61" t="s">
        <v>369</v>
      </c>
      <c r="E75" s="453"/>
      <c r="F75" s="453"/>
      <c r="G75" s="458"/>
      <c r="H75" s="459"/>
      <c r="I75" s="453"/>
      <c r="J75" s="453"/>
      <c r="K75" s="453"/>
    </row>
    <row r="76" spans="1:18" x14ac:dyDescent="0.25">
      <c r="B76" s="61"/>
      <c r="D76" s="67"/>
      <c r="E76" s="62" t="s">
        <v>366</v>
      </c>
      <c r="F76" s="461">
        <f>F60</f>
        <v>840</v>
      </c>
      <c r="G76" s="13"/>
      <c r="H76" s="96"/>
      <c r="I76" s="62"/>
      <c r="J76" s="62"/>
      <c r="K76" s="62"/>
      <c r="L76"/>
      <c r="N76"/>
      <c r="O76"/>
    </row>
    <row r="77" spans="1:18" x14ac:dyDescent="0.25">
      <c r="A77" s="368" t="s">
        <v>364</v>
      </c>
      <c r="B77" s="460">
        <f>N60</f>
        <v>280.76</v>
      </c>
      <c r="D77" s="67"/>
      <c r="E77" s="71" t="s">
        <v>360</v>
      </c>
      <c r="F77" s="71">
        <v>10</v>
      </c>
      <c r="G77" s="13"/>
      <c r="H77" s="96"/>
      <c r="I77" s="62"/>
      <c r="J77" s="62"/>
      <c r="K77" s="62"/>
      <c r="L77"/>
      <c r="N77"/>
      <c r="O77"/>
    </row>
    <row r="78" spans="1:18" x14ac:dyDescent="0.25">
      <c r="D78" s="67"/>
      <c r="E78" s="62"/>
      <c r="F78" s="62">
        <f>+F77*F76</f>
        <v>8400</v>
      </c>
      <c r="G78" s="13" t="s">
        <v>367</v>
      </c>
      <c r="H78" s="96"/>
      <c r="I78" s="62"/>
      <c r="J78" s="62"/>
      <c r="K78" s="62"/>
      <c r="L78"/>
      <c r="N78"/>
      <c r="O78"/>
    </row>
    <row r="79" spans="1:18" x14ac:dyDescent="0.25">
      <c r="D79" s="67"/>
      <c r="E79" s="453" t="s">
        <v>361</v>
      </c>
      <c r="F79" s="453">
        <f>ROUNDUP((F78/300),0)</f>
        <v>28</v>
      </c>
      <c r="G79" s="13"/>
      <c r="H79" s="96"/>
      <c r="I79" s="62"/>
      <c r="J79" s="62"/>
      <c r="K79" s="62"/>
      <c r="L79"/>
      <c r="N79"/>
      <c r="O79"/>
    </row>
    <row r="80" spans="1:18" x14ac:dyDescent="0.25">
      <c r="D80" s="67"/>
      <c r="E80" s="62" t="s">
        <v>362</v>
      </c>
      <c r="F80" s="454">
        <f>+F79*100</f>
        <v>2800</v>
      </c>
      <c r="G80" s="13"/>
      <c r="H80" s="96"/>
      <c r="I80" s="62"/>
      <c r="J80" s="62"/>
      <c r="K80" s="62"/>
      <c r="L80"/>
      <c r="N80"/>
      <c r="O80"/>
    </row>
    <row r="81" spans="1:17" x14ac:dyDescent="0.25">
      <c r="D81" s="67"/>
      <c r="E81" s="62"/>
      <c r="F81" s="62"/>
      <c r="G81" s="13"/>
      <c r="H81" s="96"/>
      <c r="I81" s="62"/>
      <c r="J81" s="62"/>
      <c r="K81" s="62"/>
      <c r="L81"/>
      <c r="N81"/>
      <c r="O81"/>
    </row>
    <row r="82" spans="1:17" x14ac:dyDescent="0.25">
      <c r="D82" s="455"/>
      <c r="E82" s="456" t="s">
        <v>363</v>
      </c>
      <c r="F82" s="457">
        <f>+F80/10</f>
        <v>280</v>
      </c>
      <c r="G82" s="13"/>
      <c r="H82" s="96"/>
      <c r="I82" s="62"/>
      <c r="J82" s="62"/>
      <c r="K82" s="62"/>
      <c r="L82"/>
      <c r="N82"/>
      <c r="O82"/>
    </row>
    <row r="83" spans="1:17" x14ac:dyDescent="0.25">
      <c r="N83"/>
      <c r="O83"/>
    </row>
    <row r="84" spans="1:17" x14ac:dyDescent="0.25">
      <c r="N84"/>
      <c r="O84"/>
    </row>
    <row r="85" spans="1:17" x14ac:dyDescent="0.25">
      <c r="N85"/>
      <c r="O85"/>
    </row>
    <row r="86" spans="1:17" x14ac:dyDescent="0.25">
      <c r="A86" s="379"/>
      <c r="B86" s="379"/>
      <c r="C86" s="379"/>
      <c r="D86" s="380"/>
      <c r="E86" s="141"/>
      <c r="F86" s="141"/>
      <c r="G86" s="382"/>
      <c r="H86" s="383"/>
      <c r="I86" s="141"/>
      <c r="J86" s="141"/>
      <c r="K86" s="141"/>
      <c r="L86" s="379"/>
      <c r="M86" s="379"/>
      <c r="N86" s="379"/>
      <c r="O86" s="379"/>
      <c r="P86" s="379"/>
      <c r="Q86" s="379"/>
    </row>
    <row r="87" spans="1:17" x14ac:dyDescent="0.25">
      <c r="A87" s="379"/>
      <c r="B87" s="379"/>
      <c r="C87" s="379"/>
      <c r="D87" s="380"/>
      <c r="E87" s="141"/>
      <c r="F87" s="141"/>
      <c r="G87" s="382"/>
      <c r="H87" s="383"/>
      <c r="I87" s="141"/>
      <c r="J87" s="141"/>
      <c r="K87" s="141"/>
      <c r="L87" s="379"/>
      <c r="M87" s="379"/>
      <c r="N87" s="379"/>
      <c r="O87" s="379"/>
      <c r="P87" s="379"/>
      <c r="Q87" s="379"/>
    </row>
    <row r="88" spans="1:17" x14ac:dyDescent="0.25">
      <c r="A88" s="379"/>
      <c r="B88" s="379"/>
      <c r="C88" s="379"/>
      <c r="D88" s="380"/>
      <c r="E88" s="141"/>
      <c r="F88" s="141"/>
      <c r="G88" s="382"/>
      <c r="H88" s="383"/>
      <c r="I88" s="141"/>
      <c r="J88" s="141"/>
      <c r="K88" s="141"/>
      <c r="L88" s="379"/>
      <c r="M88" s="379"/>
      <c r="N88" s="379"/>
      <c r="O88" s="379"/>
      <c r="P88" s="379"/>
      <c r="Q88" s="379"/>
    </row>
    <row r="89" spans="1:17" x14ac:dyDescent="0.25">
      <c r="D89" s="67"/>
      <c r="E89" s="62"/>
      <c r="F89" s="62"/>
      <c r="G89" s="13"/>
      <c r="H89" s="96"/>
      <c r="I89" s="62"/>
      <c r="J89" s="62"/>
      <c r="K89" s="62"/>
      <c r="L89"/>
      <c r="N89"/>
      <c r="O89"/>
    </row>
    <row r="90" spans="1:17" x14ac:dyDescent="0.25">
      <c r="D90" s="67"/>
      <c r="E90" s="62"/>
      <c r="F90" s="62"/>
      <c r="G90" s="13"/>
      <c r="H90" s="96"/>
      <c r="I90" s="62"/>
      <c r="J90" s="62"/>
      <c r="K90" s="62"/>
      <c r="L90"/>
      <c r="N90"/>
      <c r="O90"/>
    </row>
    <row r="91" spans="1:17" x14ac:dyDescent="0.25">
      <c r="A91" t="s">
        <v>387</v>
      </c>
      <c r="D91" s="67"/>
      <c r="E91" s="62"/>
      <c r="F91" s="62"/>
      <c r="G91" s="13"/>
      <c r="H91" t="s">
        <v>387</v>
      </c>
      <c r="I91"/>
      <c r="K91" s="67"/>
      <c r="L91"/>
      <c r="N91"/>
      <c r="O91"/>
    </row>
    <row r="92" spans="1:17" x14ac:dyDescent="0.25">
      <c r="A92" t="s">
        <v>388</v>
      </c>
      <c r="D92" s="67"/>
      <c r="E92" s="62"/>
      <c r="F92" s="62"/>
      <c r="G92" s="13"/>
      <c r="H92" s="64" t="s">
        <v>390</v>
      </c>
      <c r="I92"/>
      <c r="K92" s="67"/>
      <c r="L92"/>
      <c r="N92"/>
      <c r="O92"/>
    </row>
    <row r="93" spans="1:17" x14ac:dyDescent="0.25">
      <c r="D93" s="67"/>
      <c r="E93" s="62"/>
      <c r="F93" s="62"/>
      <c r="G93" s="13"/>
      <c r="H93"/>
      <c r="I93"/>
      <c r="K93" s="67"/>
      <c r="L93"/>
      <c r="N93"/>
      <c r="O93"/>
    </row>
    <row r="94" spans="1:17" x14ac:dyDescent="0.25">
      <c r="A94" s="587"/>
      <c r="B94" s="587" t="s">
        <v>389</v>
      </c>
      <c r="C94" s="64" t="s">
        <v>113</v>
      </c>
      <c r="D94" s="593" t="s">
        <v>202</v>
      </c>
      <c r="E94" s="588"/>
      <c r="F94" s="588"/>
      <c r="G94" s="589"/>
      <c r="H94" s="587"/>
      <c r="I94" s="587" t="s">
        <v>389</v>
      </c>
      <c r="J94" s="64" t="s">
        <v>113</v>
      </c>
      <c r="K94" s="593" t="s">
        <v>202</v>
      </c>
      <c r="L94" s="587"/>
      <c r="M94" s="587"/>
      <c r="N94" s="587"/>
      <c r="O94" s="587"/>
      <c r="P94" s="587"/>
      <c r="Q94" s="587"/>
    </row>
    <row r="95" spans="1:17" x14ac:dyDescent="0.25">
      <c r="A95" s="599">
        <v>0</v>
      </c>
      <c r="B95" s="66">
        <f>K60</f>
        <v>458</v>
      </c>
      <c r="C95" s="65">
        <f>J60</f>
        <v>177.23999999999998</v>
      </c>
      <c r="D95" s="603">
        <f>+B95-C95</f>
        <v>280.76</v>
      </c>
      <c r="E95" s="588"/>
      <c r="F95" s="588"/>
      <c r="G95" s="589"/>
      <c r="H95" s="599">
        <v>0</v>
      </c>
      <c r="I95" s="602">
        <f>K36</f>
        <v>138</v>
      </c>
      <c r="J95" s="600">
        <f>J36</f>
        <v>56.821999999999996</v>
      </c>
      <c r="K95" s="601">
        <f>+I95-J95</f>
        <v>81.177999999999997</v>
      </c>
      <c r="L95" s="587"/>
      <c r="M95" s="587"/>
      <c r="N95" s="587"/>
      <c r="O95" s="587"/>
      <c r="P95" s="587"/>
      <c r="Q95" s="587"/>
    </row>
    <row r="96" spans="1:17" x14ac:dyDescent="0.25">
      <c r="A96" s="596">
        <v>0.1</v>
      </c>
      <c r="B96" s="66">
        <f>0.9*B95</f>
        <v>412.2</v>
      </c>
      <c r="C96" s="65">
        <f>C95</f>
        <v>177.23999999999998</v>
      </c>
      <c r="D96" s="603">
        <f t="shared" ref="D96:D99" si="4">+B96-C96</f>
        <v>234.96</v>
      </c>
      <c r="E96" s="225"/>
      <c r="F96" s="225"/>
      <c r="G96" s="591"/>
      <c r="H96" s="596">
        <v>0.1</v>
      </c>
      <c r="I96" s="587">
        <f>0.9*I95</f>
        <v>124.2</v>
      </c>
      <c r="J96" s="600">
        <f>J95</f>
        <v>56.821999999999996</v>
      </c>
      <c r="K96" s="601">
        <f t="shared" ref="K96:K99" si="5">+I96-J96</f>
        <v>67.378000000000014</v>
      </c>
      <c r="L96" s="64"/>
      <c r="M96" s="64"/>
      <c r="N96" s="64"/>
      <c r="O96" s="64"/>
      <c r="P96" s="64"/>
      <c r="Q96" s="64"/>
    </row>
    <row r="97" spans="1:17" x14ac:dyDescent="0.25">
      <c r="A97" s="597">
        <v>0.15</v>
      </c>
      <c r="B97" s="66">
        <f>+B95*0.85</f>
        <v>389.3</v>
      </c>
      <c r="C97" s="65">
        <f t="shared" ref="C97:C99" si="6">C96</f>
        <v>177.23999999999998</v>
      </c>
      <c r="D97" s="603">
        <f t="shared" si="4"/>
        <v>212.06000000000003</v>
      </c>
      <c r="E97" s="498"/>
      <c r="F97" s="498"/>
      <c r="G97" s="594"/>
      <c r="H97" s="597">
        <v>0.15</v>
      </c>
      <c r="I97" s="587">
        <f>+I95*0.85</f>
        <v>117.3</v>
      </c>
      <c r="J97" s="600">
        <f t="shared" ref="J97:J99" si="7">J96</f>
        <v>56.821999999999996</v>
      </c>
      <c r="K97" s="601">
        <f t="shared" si="5"/>
        <v>60.478000000000002</v>
      </c>
      <c r="L97" s="507"/>
      <c r="M97" s="507"/>
      <c r="N97" s="507"/>
      <c r="O97" s="507"/>
      <c r="P97" s="507"/>
      <c r="Q97" s="507"/>
    </row>
    <row r="98" spans="1:17" x14ac:dyDescent="0.25">
      <c r="A98" s="598">
        <v>0.2</v>
      </c>
      <c r="B98" s="66">
        <f>0.8*B95</f>
        <v>366.40000000000003</v>
      </c>
      <c r="C98" s="65">
        <f t="shared" si="6"/>
        <v>177.23999999999998</v>
      </c>
      <c r="D98" s="604">
        <f t="shared" si="4"/>
        <v>189.16000000000005</v>
      </c>
      <c r="E98" s="62"/>
      <c r="F98" s="62"/>
      <c r="G98" s="13"/>
      <c r="H98" s="598">
        <v>0.2</v>
      </c>
      <c r="I98" s="587">
        <f>0.8*I95</f>
        <v>110.4</v>
      </c>
      <c r="J98" s="600">
        <f t="shared" si="7"/>
        <v>56.821999999999996</v>
      </c>
      <c r="K98" s="601">
        <f t="shared" si="5"/>
        <v>53.57800000000001</v>
      </c>
      <c r="L98"/>
      <c r="N98"/>
      <c r="O98"/>
    </row>
    <row r="99" spans="1:17" x14ac:dyDescent="0.25">
      <c r="A99" s="598">
        <v>0.25</v>
      </c>
      <c r="B99" s="66">
        <f>0.75*B95</f>
        <v>343.5</v>
      </c>
      <c r="C99" s="65">
        <f t="shared" si="6"/>
        <v>177.23999999999998</v>
      </c>
      <c r="D99" s="604">
        <f t="shared" si="4"/>
        <v>166.26000000000002</v>
      </c>
      <c r="E99" s="62"/>
      <c r="F99" s="62"/>
      <c r="G99" s="13"/>
      <c r="H99" s="598">
        <v>0.25</v>
      </c>
      <c r="I99" s="587">
        <f>0.755*I95</f>
        <v>104.19</v>
      </c>
      <c r="J99" s="600">
        <f t="shared" si="7"/>
        <v>56.821999999999996</v>
      </c>
      <c r="K99" s="601">
        <f t="shared" si="5"/>
        <v>47.368000000000002</v>
      </c>
      <c r="L99"/>
      <c r="N99"/>
      <c r="O99"/>
    </row>
    <row r="100" spans="1:17" x14ac:dyDescent="0.25">
      <c r="N100"/>
      <c r="O100"/>
    </row>
    <row r="101" spans="1:17" x14ac:dyDescent="0.25">
      <c r="N101"/>
      <c r="O101"/>
    </row>
    <row r="102" spans="1:17" x14ac:dyDescent="0.25">
      <c r="N102"/>
      <c r="O102"/>
    </row>
    <row r="103" spans="1:17" x14ac:dyDescent="0.25">
      <c r="N103"/>
      <c r="O103"/>
    </row>
    <row r="104" spans="1:17" x14ac:dyDescent="0.25">
      <c r="N104"/>
      <c r="O104"/>
    </row>
  </sheetData>
  <mergeCells count="1">
    <mergeCell ref="C4:D4"/>
  </mergeCells>
  <dataValidations count="1">
    <dataValidation type="list" allowBlank="1" showInputMessage="1" showErrorMessage="1" sqref="B32:B35 B17:B20 B56:B59 B44:B47" xr:uid="{F9D92593-B1EE-4485-AD20-41D3F1214BA7}">
      <formula1>$N$1:$N$3</formula1>
    </dataValidation>
  </dataValidations>
  <pageMargins left="0.7" right="0.7" top="0.75" bottom="0.75" header="0.3" footer="0.3"/>
  <pageSetup scale="63" fitToHeight="1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EE332-ED07-48AE-AF19-987CBCA72866}">
  <sheetPr codeName="Sheet17">
    <pageSetUpPr fitToPage="1"/>
  </sheetPr>
  <dimension ref="A1:S97"/>
  <sheetViews>
    <sheetView topLeftCell="A44" workbookViewId="0">
      <selection activeCell="A65" sqref="A65"/>
    </sheetView>
  </sheetViews>
  <sheetFormatPr defaultColWidth="12.125" defaultRowHeight="15.75" x14ac:dyDescent="0.25"/>
  <cols>
    <col min="1" max="1" width="10" customWidth="1"/>
    <col min="5" max="5" width="12.125" style="67"/>
    <col min="7" max="7" width="12.125" style="95"/>
    <col min="8" max="8" width="12.125" style="13"/>
    <col min="9" max="9" width="12.125" style="96"/>
    <col min="12" max="12" width="12.125" style="62"/>
    <col min="14" max="14" width="12.125" style="62"/>
  </cols>
  <sheetData>
    <row r="1" spans="1:19" ht="30.75" customHeight="1" x14ac:dyDescent="0.55000000000000004">
      <c r="A1" s="234" t="s">
        <v>275</v>
      </c>
      <c r="B1" s="236"/>
      <c r="C1" s="236"/>
      <c r="D1" s="236"/>
      <c r="I1" s="117"/>
      <c r="J1" s="287"/>
      <c r="K1" s="287"/>
      <c r="L1" s="117"/>
      <c r="M1" s="117"/>
      <c r="O1" s="154" t="s">
        <v>203</v>
      </c>
    </row>
    <row r="2" spans="1:19" s="98" customFormat="1" x14ac:dyDescent="0.25">
      <c r="B2" s="200">
        <f>'Pep Costs'!B37</f>
        <v>75</v>
      </c>
      <c r="C2" s="98" t="s">
        <v>142</v>
      </c>
      <c r="E2" s="117"/>
      <c r="F2" s="117"/>
      <c r="G2" s="117"/>
      <c r="H2" s="117"/>
      <c r="I2" s="117"/>
      <c r="J2" s="429"/>
      <c r="K2" s="430"/>
      <c r="L2" s="471"/>
      <c r="M2" s="117"/>
      <c r="N2" s="119"/>
      <c r="O2" s="155" t="s">
        <v>187</v>
      </c>
      <c r="P2" s="117"/>
      <c r="Q2" s="117"/>
      <c r="R2" s="117"/>
      <c r="S2" s="117"/>
    </row>
    <row r="3" spans="1:19" s="98" customFormat="1" x14ac:dyDescent="0.25">
      <c r="B3" s="170">
        <v>3.3</v>
      </c>
      <c r="C3" s="198" t="s">
        <v>185</v>
      </c>
      <c r="E3" s="117"/>
      <c r="F3" s="117"/>
      <c r="G3" s="117"/>
      <c r="H3" s="117"/>
      <c r="I3" s="117"/>
      <c r="J3" s="117"/>
      <c r="K3" s="117"/>
      <c r="L3" s="152"/>
      <c r="M3" s="117"/>
      <c r="N3" s="119"/>
      <c r="O3" s="155" t="s">
        <v>206</v>
      </c>
      <c r="P3" s="117"/>
      <c r="Q3" s="117"/>
      <c r="R3" s="117"/>
      <c r="S3" s="117"/>
    </row>
    <row r="4" spans="1:19" s="98" customFormat="1" ht="18" x14ac:dyDescent="0.4">
      <c r="B4" s="142">
        <v>15</v>
      </c>
      <c r="C4" s="156" t="s">
        <v>230</v>
      </c>
      <c r="E4" s="270"/>
      <c r="F4" s="511" t="s">
        <v>349</v>
      </c>
      <c r="G4" s="512" t="s">
        <v>144</v>
      </c>
      <c r="H4" s="117"/>
      <c r="I4" s="117"/>
      <c r="J4" s="158"/>
      <c r="K4" s="117"/>
      <c r="L4" s="152"/>
      <c r="M4" s="117"/>
      <c r="N4" s="119"/>
      <c r="O4" s="157"/>
      <c r="P4" s="117"/>
      <c r="Q4" s="117"/>
      <c r="R4" s="117"/>
      <c r="S4" s="117"/>
    </row>
    <row r="5" spans="1:19" s="98" customFormat="1" x14ac:dyDescent="0.25">
      <c r="A5" s="15"/>
      <c r="B5" s="87">
        <f>SUM(B2:B4)</f>
        <v>93.3</v>
      </c>
      <c r="E5" s="270"/>
      <c r="F5" s="117">
        <v>100</v>
      </c>
      <c r="G5" s="130">
        <f>+F5+B5</f>
        <v>193.3</v>
      </c>
      <c r="H5" s="117"/>
      <c r="I5" s="117"/>
      <c r="J5" s="158"/>
      <c r="K5" s="117"/>
      <c r="L5" s="152"/>
      <c r="M5" s="117"/>
      <c r="N5" s="119"/>
      <c r="P5" s="117"/>
      <c r="Q5" s="117"/>
      <c r="R5" s="117"/>
      <c r="S5" s="117"/>
    </row>
    <row r="6" spans="1:19" s="98" customFormat="1" x14ac:dyDescent="0.25">
      <c r="E6" s="117"/>
      <c r="F6" s="117"/>
      <c r="G6" s="130"/>
      <c r="H6" s="471"/>
      <c r="I6" s="117"/>
      <c r="J6" s="158"/>
      <c r="K6" s="117"/>
      <c r="L6" s="152"/>
      <c r="M6" s="153"/>
      <c r="N6" s="289"/>
      <c r="O6" s="117"/>
      <c r="P6" s="117"/>
      <c r="Q6" s="117"/>
      <c r="R6" s="117"/>
      <c r="S6" s="117"/>
    </row>
    <row r="7" spans="1:19" s="98" customFormat="1" x14ac:dyDescent="0.25">
      <c r="A7" s="62" t="s">
        <v>189</v>
      </c>
      <c r="B7" s="87">
        <f>+B5/300</f>
        <v>0.311</v>
      </c>
      <c r="E7" s="62"/>
      <c r="F7" s="62" t="s">
        <v>189</v>
      </c>
      <c r="G7" s="392">
        <f>+G5/300</f>
        <v>0.64433333333333342</v>
      </c>
      <c r="H7" s="117"/>
      <c r="I7" s="80"/>
      <c r="K7" s="152"/>
      <c r="L7" s="153"/>
      <c r="M7" s="117"/>
      <c r="N7" s="289"/>
      <c r="O7" s="117"/>
      <c r="P7" s="117"/>
      <c r="Q7" s="117"/>
      <c r="R7" s="117"/>
    </row>
    <row r="8" spans="1:19" s="117" customFormat="1" x14ac:dyDescent="0.25">
      <c r="A8" s="62"/>
      <c r="B8" s="128"/>
      <c r="E8" s="62"/>
      <c r="F8" s="390"/>
      <c r="G8" s="471"/>
      <c r="I8" s="158"/>
      <c r="K8" s="152"/>
      <c r="L8" s="153"/>
      <c r="N8" s="289"/>
    </row>
    <row r="9" spans="1:19" s="161" customFormat="1" x14ac:dyDescent="0.25">
      <c r="A9" s="159"/>
      <c r="B9" s="160"/>
      <c r="D9" s="162"/>
      <c r="E9" s="163"/>
      <c r="H9" s="164"/>
      <c r="J9" s="165"/>
      <c r="K9" s="166"/>
      <c r="M9" s="401"/>
    </row>
    <row r="10" spans="1:19" s="161" customFormat="1" x14ac:dyDescent="0.25">
      <c r="A10" s="159"/>
      <c r="B10" s="160"/>
      <c r="D10" s="162"/>
      <c r="E10" s="163"/>
      <c r="H10" s="164"/>
      <c r="J10" s="165"/>
      <c r="K10" s="166"/>
      <c r="M10" s="401"/>
    </row>
    <row r="11" spans="1:19" s="241" customFormat="1" x14ac:dyDescent="0.25">
      <c r="A11" s="313"/>
      <c r="B11" s="240"/>
      <c r="D11" s="283"/>
      <c r="E11" s="284"/>
      <c r="H11" s="173"/>
      <c r="J11" s="244"/>
      <c r="K11" s="245"/>
      <c r="M11" s="491"/>
    </row>
    <row r="12" spans="1:19" s="83" customFormat="1" x14ac:dyDescent="0.25">
      <c r="B12" s="90"/>
      <c r="C12" s="158"/>
      <c r="D12" s="189"/>
      <c r="E12" s="190"/>
      <c r="F12" s="191"/>
      <c r="G12" s="90"/>
      <c r="H12" s="84"/>
      <c r="I12" s="85"/>
      <c r="J12" s="86"/>
      <c r="K12" s="91"/>
      <c r="L12" s="85"/>
      <c r="M12" s="451"/>
    </row>
    <row r="13" spans="1:19" s="98" customFormat="1" x14ac:dyDescent="0.25">
      <c r="A13" s="15"/>
      <c r="B13" s="87"/>
      <c r="C13" s="80"/>
      <c r="D13" s="115"/>
      <c r="E13" s="116"/>
      <c r="G13" s="117"/>
      <c r="H13" s="80"/>
      <c r="J13" s="152"/>
      <c r="K13" s="153"/>
      <c r="L13" s="117"/>
      <c r="M13" s="289"/>
      <c r="N13" s="117"/>
      <c r="O13" s="117"/>
      <c r="P13" s="117"/>
      <c r="Q13" s="117"/>
    </row>
    <row r="14" spans="1:19" s="98" customFormat="1" x14ac:dyDescent="0.25">
      <c r="A14" s="168" t="s">
        <v>218</v>
      </c>
      <c r="B14" s="87"/>
      <c r="C14" s="80"/>
      <c r="D14" s="115"/>
      <c r="E14" s="116"/>
      <c r="G14" s="117"/>
      <c r="H14" s="80"/>
      <c r="K14" s="280" t="s">
        <v>144</v>
      </c>
      <c r="L14" s="117"/>
      <c r="M14" s="289"/>
      <c r="N14" s="117"/>
      <c r="O14" s="117"/>
      <c r="P14" s="117"/>
      <c r="Q14" s="117"/>
    </row>
    <row r="15" spans="1:19" s="98" customFormat="1" x14ac:dyDescent="0.25">
      <c r="A15" s="15"/>
      <c r="B15" s="121"/>
      <c r="C15" s="80"/>
      <c r="D15" s="115"/>
      <c r="E15" s="116"/>
      <c r="G15" s="117"/>
      <c r="H15" s="261">
        <f>ROUNDUP(F21,0)</f>
        <v>285</v>
      </c>
      <c r="I15" s="262" t="s">
        <v>201</v>
      </c>
      <c r="J15" s="87">
        <f>+B7*F21</f>
        <v>88.635000000000005</v>
      </c>
      <c r="K15" s="264">
        <f>+F21*G7</f>
        <v>183.63500000000002</v>
      </c>
      <c r="L15" s="117"/>
      <c r="M15" s="289"/>
      <c r="N15" s="117"/>
      <c r="O15" s="117"/>
      <c r="P15" s="117"/>
      <c r="Q15" s="117"/>
    </row>
    <row r="16" spans="1:19" s="125" customFormat="1" ht="31.5" x14ac:dyDescent="0.25">
      <c r="A16" s="182"/>
      <c r="B16" s="183" t="s">
        <v>199</v>
      </c>
      <c r="C16" s="184" t="s">
        <v>196</v>
      </c>
      <c r="D16" s="183" t="s">
        <v>197</v>
      </c>
      <c r="E16" s="169" t="s">
        <v>198</v>
      </c>
      <c r="F16" s="185" t="s">
        <v>188</v>
      </c>
      <c r="G16" s="124"/>
      <c r="H16" s="265">
        <v>1</v>
      </c>
      <c r="I16" s="309" t="s">
        <v>177</v>
      </c>
      <c r="J16" s="310">
        <f>+H16*45</f>
        <v>45</v>
      </c>
      <c r="K16" s="311">
        <f>+H16*85</f>
        <v>85</v>
      </c>
      <c r="L16" s="124"/>
      <c r="M16" s="432"/>
      <c r="N16" s="124"/>
      <c r="O16" s="124"/>
      <c r="P16" s="124"/>
      <c r="Q16" s="124"/>
    </row>
    <row r="17" spans="1:17" s="81" customFormat="1" x14ac:dyDescent="0.25">
      <c r="A17" s="193" t="s">
        <v>219</v>
      </c>
      <c r="B17" s="251" t="s">
        <v>203</v>
      </c>
      <c r="C17" s="252"/>
      <c r="D17" s="251">
        <v>15</v>
      </c>
      <c r="E17" s="254">
        <f>IF(B17="Daily",7, IF(B17="Weekly",1, IF(B17="Every Other Day",4,"")))</f>
        <v>7</v>
      </c>
      <c r="F17" s="255">
        <f>+D17*E17</f>
        <v>105</v>
      </c>
      <c r="G17" s="83"/>
      <c r="H17" s="266">
        <f>IF(E21&gt;=25, E21+2, E21+1)</f>
        <v>20</v>
      </c>
      <c r="I17" s="305" t="s">
        <v>217</v>
      </c>
      <c r="J17" s="87"/>
      <c r="K17" s="263"/>
      <c r="L17" s="83"/>
      <c r="M17" s="492"/>
      <c r="N17" s="83"/>
      <c r="O17" s="83"/>
      <c r="P17" s="83"/>
      <c r="Q17" s="83"/>
    </row>
    <row r="18" spans="1:17" s="81" customFormat="1" x14ac:dyDescent="0.25">
      <c r="A18" s="193" t="s">
        <v>219</v>
      </c>
      <c r="B18" s="251" t="s">
        <v>206</v>
      </c>
      <c r="C18" s="252"/>
      <c r="D18" s="251">
        <v>15</v>
      </c>
      <c r="E18" s="256">
        <f>IF(B18="Daily",7, IF(B18="Weekly",1, IF(B18="Every Other Day",4,"")))</f>
        <v>1</v>
      </c>
      <c r="F18" s="255">
        <f t="shared" ref="F18:F20" si="0">+D18*E18</f>
        <v>15</v>
      </c>
      <c r="G18" s="83"/>
      <c r="H18" s="266">
        <f>ROUNDUP(F22,0)</f>
        <v>1</v>
      </c>
      <c r="I18" s="305" t="s">
        <v>190</v>
      </c>
      <c r="J18" s="87"/>
      <c r="K18" s="263"/>
      <c r="L18" s="83"/>
      <c r="M18" s="492"/>
      <c r="N18" s="83"/>
      <c r="O18" s="83"/>
      <c r="P18" s="83"/>
      <c r="Q18" s="83"/>
    </row>
    <row r="19" spans="1:17" s="81" customFormat="1" x14ac:dyDescent="0.25">
      <c r="A19" s="193" t="s">
        <v>219</v>
      </c>
      <c r="B19" s="251" t="s">
        <v>187</v>
      </c>
      <c r="C19" s="252"/>
      <c r="D19" s="251">
        <v>15</v>
      </c>
      <c r="E19" s="256">
        <f>IF(B19="Daily",7, IF(B19="Weekly",1, IF(B19="Every Other Day",4,"")))</f>
        <v>4</v>
      </c>
      <c r="F19" s="255">
        <f t="shared" si="0"/>
        <v>60</v>
      </c>
      <c r="G19" s="83"/>
      <c r="H19" s="266">
        <f>H17</f>
        <v>20</v>
      </c>
      <c r="I19" s="305" t="s">
        <v>200</v>
      </c>
      <c r="J19" s="87"/>
      <c r="K19" s="263"/>
      <c r="L19" s="83"/>
      <c r="M19" s="492"/>
      <c r="N19" s="83"/>
      <c r="O19" s="83"/>
      <c r="P19" s="83"/>
      <c r="Q19" s="83"/>
    </row>
    <row r="20" spans="1:17" s="81" customFormat="1" x14ac:dyDescent="0.25">
      <c r="A20" s="193" t="s">
        <v>219</v>
      </c>
      <c r="B20" s="257" t="s">
        <v>203</v>
      </c>
      <c r="C20" s="258"/>
      <c r="D20" s="257">
        <v>15</v>
      </c>
      <c r="E20" s="259">
        <f>IF(B20="Daily",7, IF(B20="Weekly",1, IF(B20="Every Other Day",4,"")))</f>
        <v>7</v>
      </c>
      <c r="F20" s="260">
        <f t="shared" si="0"/>
        <v>105</v>
      </c>
      <c r="G20" s="83"/>
      <c r="H20" s="252">
        <v>0</v>
      </c>
      <c r="I20" s="304" t="s">
        <v>192</v>
      </c>
      <c r="J20" s="142">
        <f>H20*3.65</f>
        <v>0</v>
      </c>
      <c r="K20" s="267"/>
      <c r="L20" s="83"/>
      <c r="M20" s="522"/>
      <c r="N20" s="503"/>
      <c r="O20" s="83"/>
      <c r="P20" s="83"/>
      <c r="Q20" s="83"/>
    </row>
    <row r="21" spans="1:17" s="81" customFormat="1" x14ac:dyDescent="0.25">
      <c r="A21" s="88"/>
      <c r="B21" s="79"/>
      <c r="C21" s="80"/>
      <c r="D21" s="82"/>
      <c r="E21" s="167">
        <f>SUM(E17:E20)</f>
        <v>19</v>
      </c>
      <c r="F21" s="279">
        <f>SUM(F17:F20)</f>
        <v>285</v>
      </c>
      <c r="G21" s="83"/>
      <c r="H21" s="80"/>
      <c r="J21" s="128">
        <f>SUM(J15:J20)</f>
        <v>133.63499999999999</v>
      </c>
      <c r="K21" s="269">
        <f>ROUNDUP(SUM(K15:K20),0)</f>
        <v>269</v>
      </c>
      <c r="L21" s="83"/>
      <c r="M21" s="433" t="s">
        <v>202</v>
      </c>
      <c r="N21" s="428">
        <f>+K21-J21</f>
        <v>135.36500000000001</v>
      </c>
      <c r="O21" s="83"/>
      <c r="P21" s="83"/>
      <c r="Q21" s="83"/>
    </row>
    <row r="22" spans="1:17" s="81" customFormat="1" x14ac:dyDescent="0.25">
      <c r="A22" s="88"/>
      <c r="B22" s="79"/>
      <c r="C22" s="80"/>
      <c r="D22" s="82"/>
      <c r="E22" s="89" t="s">
        <v>204</v>
      </c>
      <c r="F22" s="110">
        <f>+F21/300</f>
        <v>0.95</v>
      </c>
      <c r="G22" s="83"/>
      <c r="H22" s="80"/>
      <c r="I22" s="131" t="s">
        <v>189</v>
      </c>
      <c r="J22" s="113">
        <f>+J21/H15</f>
        <v>0.46889473684210525</v>
      </c>
      <c r="K22" s="112">
        <f>+K21/H15</f>
        <v>0.94385964912280707</v>
      </c>
      <c r="L22" s="83"/>
      <c r="M22" s="522"/>
      <c r="N22" s="503"/>
      <c r="O22" s="83"/>
      <c r="P22" s="83"/>
      <c r="Q22" s="83"/>
    </row>
    <row r="23" spans="1:17" s="81" customFormat="1" x14ac:dyDescent="0.25">
      <c r="A23" s="88"/>
      <c r="B23" s="79"/>
      <c r="C23" s="80"/>
      <c r="D23" s="82"/>
      <c r="E23" s="109"/>
      <c r="G23" s="83"/>
      <c r="H23" s="80"/>
      <c r="I23" s="131"/>
      <c r="J23" s="131"/>
      <c r="K23" s="131"/>
      <c r="L23" s="83"/>
      <c r="M23" s="522"/>
      <c r="N23" s="503"/>
      <c r="O23" s="83"/>
      <c r="P23" s="83"/>
      <c r="Q23" s="83"/>
    </row>
    <row r="24" spans="1:17" s="81" customFormat="1" x14ac:dyDescent="0.25">
      <c r="A24" s="88"/>
      <c r="B24" s="79"/>
      <c r="C24" s="80"/>
      <c r="D24" s="82"/>
      <c r="E24" s="109"/>
      <c r="G24" s="83"/>
      <c r="H24" s="80"/>
      <c r="J24" s="111"/>
      <c r="L24" s="83"/>
      <c r="M24" s="522"/>
      <c r="N24" s="503"/>
      <c r="O24" s="83"/>
      <c r="P24" s="83"/>
      <c r="Q24" s="83"/>
    </row>
    <row r="25" spans="1:17" s="241" customFormat="1" x14ac:dyDescent="0.25">
      <c r="A25" s="313"/>
      <c r="B25" s="240"/>
      <c r="D25" s="283"/>
      <c r="E25" s="284"/>
      <c r="H25" s="173"/>
      <c r="J25" s="244"/>
      <c r="K25" s="245"/>
      <c r="M25" s="535"/>
      <c r="N25" s="534"/>
    </row>
    <row r="26" spans="1:17" s="161" customFormat="1" x14ac:dyDescent="0.25">
      <c r="A26" s="159"/>
      <c r="B26" s="160"/>
      <c r="D26" s="162"/>
      <c r="E26" s="163"/>
      <c r="H26" s="164"/>
      <c r="J26" s="165"/>
      <c r="K26" s="166"/>
      <c r="M26" s="523"/>
      <c r="N26" s="501"/>
    </row>
    <row r="27" spans="1:17" s="161" customFormat="1" x14ac:dyDescent="0.25">
      <c r="A27" s="159"/>
      <c r="B27" s="160"/>
      <c r="D27" s="162"/>
      <c r="E27" s="163"/>
      <c r="H27" s="164"/>
      <c r="J27" s="165"/>
      <c r="K27" s="166"/>
      <c r="M27" s="523"/>
      <c r="N27" s="501"/>
    </row>
    <row r="28" spans="1:17" s="98" customFormat="1" x14ac:dyDescent="0.25">
      <c r="A28" s="15"/>
      <c r="B28" s="87"/>
      <c r="C28" s="80"/>
      <c r="D28" s="115"/>
      <c r="E28" s="116"/>
      <c r="G28" s="117"/>
      <c r="H28" s="80"/>
      <c r="J28" s="152"/>
      <c r="K28" s="153"/>
      <c r="L28" s="117"/>
      <c r="M28" s="428"/>
      <c r="N28" s="500"/>
      <c r="O28" s="117"/>
      <c r="P28" s="117"/>
      <c r="Q28" s="117"/>
    </row>
    <row r="29" spans="1:17" s="98" customFormat="1" x14ac:dyDescent="0.25">
      <c r="A29" s="15"/>
      <c r="B29" s="87"/>
      <c r="C29" s="80"/>
      <c r="D29" s="115"/>
      <c r="E29" s="116"/>
      <c r="G29" s="117"/>
      <c r="H29" s="80"/>
      <c r="K29" s="114" t="s">
        <v>144</v>
      </c>
      <c r="L29" s="117"/>
      <c r="M29" s="428"/>
      <c r="N29" s="500"/>
      <c r="O29" s="117"/>
      <c r="P29" s="117"/>
      <c r="Q29" s="117"/>
    </row>
    <row r="30" spans="1:17" s="98" customFormat="1" x14ac:dyDescent="0.25">
      <c r="A30" s="15"/>
      <c r="B30" s="121"/>
      <c r="C30" s="80"/>
      <c r="D30" s="115"/>
      <c r="E30" s="116"/>
      <c r="G30" s="117"/>
      <c r="H30" s="118">
        <f>ROUNDUP(F36,0)</f>
        <v>679</v>
      </c>
      <c r="I30" s="119" t="s">
        <v>201</v>
      </c>
      <c r="J30" s="87">
        <f>F36*B7</f>
        <v>211.16900000000001</v>
      </c>
      <c r="K30" s="120">
        <f>+F36*G7</f>
        <v>437.50233333333341</v>
      </c>
      <c r="L30" s="117"/>
      <c r="M30" s="428"/>
      <c r="N30" s="500"/>
      <c r="O30" s="117"/>
      <c r="P30" s="117"/>
      <c r="Q30" s="117"/>
    </row>
    <row r="31" spans="1:17" s="125" customFormat="1" ht="31.5" x14ac:dyDescent="0.25">
      <c r="A31" s="653" t="s">
        <v>266</v>
      </c>
      <c r="B31" s="148" t="s">
        <v>199</v>
      </c>
      <c r="C31" s="149" t="s">
        <v>196</v>
      </c>
      <c r="D31" s="148" t="s">
        <v>197</v>
      </c>
      <c r="E31" s="122" t="s">
        <v>198</v>
      </c>
      <c r="F31" s="150" t="s">
        <v>188</v>
      </c>
      <c r="G31" s="124"/>
      <c r="H31" s="302">
        <v>1</v>
      </c>
      <c r="I31" s="62" t="s">
        <v>177</v>
      </c>
      <c r="J31" s="87">
        <f>+H31*45</f>
        <v>45</v>
      </c>
      <c r="K31" s="93">
        <f>H31*85</f>
        <v>85</v>
      </c>
      <c r="L31" s="124"/>
      <c r="M31" s="526"/>
      <c r="N31" s="502"/>
      <c r="O31" s="124"/>
      <c r="P31" s="124"/>
      <c r="Q31" s="124"/>
    </row>
    <row r="32" spans="1:17" s="81" customFormat="1" x14ac:dyDescent="0.25">
      <c r="A32" s="78" t="s">
        <v>108</v>
      </c>
      <c r="B32" s="199" t="s">
        <v>203</v>
      </c>
      <c r="C32" s="192">
        <v>50</v>
      </c>
      <c r="D32" s="199">
        <v>15</v>
      </c>
      <c r="E32" s="145">
        <f>IF(B32="Daily",7, IF(B32="Weekly",1, IF(B32="Every Other Day",4,"")))</f>
        <v>7</v>
      </c>
      <c r="F32" s="146">
        <f>+D32*E32</f>
        <v>105</v>
      </c>
      <c r="G32" s="83"/>
      <c r="H32" s="80">
        <f>IF(E36&gt;=25, E36+2, E36+1)</f>
        <v>30</v>
      </c>
      <c r="I32" s="62" t="s">
        <v>217</v>
      </c>
      <c r="J32" s="87"/>
      <c r="K32" s="93"/>
      <c r="L32" s="83"/>
      <c r="M32" s="522"/>
      <c r="N32" s="503"/>
      <c r="O32" s="83"/>
      <c r="P32" s="83"/>
      <c r="Q32" s="83"/>
    </row>
    <row r="33" spans="1:17" s="81" customFormat="1" x14ac:dyDescent="0.25">
      <c r="A33" s="78" t="s">
        <v>109</v>
      </c>
      <c r="B33" s="199" t="s">
        <v>203</v>
      </c>
      <c r="C33" s="192">
        <v>75</v>
      </c>
      <c r="D33" s="199">
        <v>22</v>
      </c>
      <c r="E33" s="147">
        <f>IF(B33="Daily",7, IF(B33="Weekly",1, IF(B33="Every Other Day",4,"")))</f>
        <v>7</v>
      </c>
      <c r="F33" s="146">
        <f t="shared" ref="F33:F35" si="1">+D33*E33</f>
        <v>154</v>
      </c>
      <c r="G33" s="83"/>
      <c r="H33" s="80">
        <f>ROUNDUP(F37,0)</f>
        <v>3</v>
      </c>
      <c r="I33" s="62" t="s">
        <v>190</v>
      </c>
      <c r="J33" s="87"/>
      <c r="K33" s="93"/>
      <c r="L33" s="83"/>
      <c r="M33" s="522"/>
      <c r="N33" s="503"/>
      <c r="O33" s="83"/>
      <c r="P33" s="83"/>
      <c r="Q33" s="83"/>
    </row>
    <row r="34" spans="1:17" s="81" customFormat="1" x14ac:dyDescent="0.25">
      <c r="A34" s="78" t="s">
        <v>110</v>
      </c>
      <c r="B34" s="199" t="s">
        <v>203</v>
      </c>
      <c r="C34" s="192">
        <v>100</v>
      </c>
      <c r="D34" s="199">
        <v>30</v>
      </c>
      <c r="E34" s="147">
        <f>IF(B34="Daily",7, IF(B34="Weekly",1, IF(B34="Every Other Day",4,"")))</f>
        <v>7</v>
      </c>
      <c r="F34" s="146">
        <f t="shared" si="1"/>
        <v>210</v>
      </c>
      <c r="G34" s="83"/>
      <c r="H34" s="80">
        <f>H32</f>
        <v>30</v>
      </c>
      <c r="I34" s="62" t="s">
        <v>200</v>
      </c>
      <c r="J34" s="87"/>
      <c r="K34" s="93"/>
      <c r="L34" s="83"/>
      <c r="M34" s="522"/>
      <c r="N34" s="503"/>
      <c r="O34" s="83"/>
      <c r="P34" s="83"/>
      <c r="Q34" s="83"/>
    </row>
    <row r="35" spans="1:17" s="81" customFormat="1" x14ac:dyDescent="0.25">
      <c r="A35" s="100" t="s">
        <v>141</v>
      </c>
      <c r="B35" s="101" t="s">
        <v>203</v>
      </c>
      <c r="C35" s="102">
        <v>100</v>
      </c>
      <c r="D35" s="101">
        <v>30</v>
      </c>
      <c r="E35" s="144">
        <f>IF(B35="Daily",7, IF(B35="Weekly",1, IF(B35="Every Other Day",4,"")))</f>
        <v>7</v>
      </c>
      <c r="F35" s="103">
        <f t="shared" si="1"/>
        <v>210</v>
      </c>
      <c r="G35" s="83"/>
      <c r="H35" s="303">
        <v>1</v>
      </c>
      <c r="I35" s="71" t="s">
        <v>192</v>
      </c>
      <c r="J35" s="142">
        <f>H35*3.65</f>
        <v>3.65</v>
      </c>
      <c r="K35" s="143"/>
      <c r="L35" s="83"/>
      <c r="M35" s="522"/>
      <c r="N35" s="503"/>
      <c r="O35" s="83"/>
      <c r="P35" s="83"/>
      <c r="Q35" s="83"/>
    </row>
    <row r="36" spans="1:17" s="81" customFormat="1" x14ac:dyDescent="0.25">
      <c r="A36" s="88"/>
      <c r="B36" s="79"/>
      <c r="C36" s="80"/>
      <c r="D36" s="82"/>
      <c r="E36" s="167">
        <f>SUM(E32:E35)</f>
        <v>28</v>
      </c>
      <c r="F36" s="127">
        <f>SUM(F32:F35)</f>
        <v>679</v>
      </c>
      <c r="G36" s="83"/>
      <c r="H36" s="80"/>
      <c r="J36" s="128">
        <f>SUM(J30:J35)</f>
        <v>259.81899999999996</v>
      </c>
      <c r="K36" s="129">
        <f>ROUNDUP(SUM(K30:K35),0)</f>
        <v>523</v>
      </c>
      <c r="L36" s="83"/>
      <c r="M36" s="433" t="s">
        <v>202</v>
      </c>
      <c r="N36" s="428">
        <f>+K36-J36</f>
        <v>263.18100000000004</v>
      </c>
      <c r="O36" s="83"/>
      <c r="P36" s="83"/>
      <c r="Q36" s="83"/>
    </row>
    <row r="37" spans="1:17" s="81" customFormat="1" x14ac:dyDescent="0.25">
      <c r="A37" s="88"/>
      <c r="B37" s="79"/>
      <c r="C37" s="80"/>
      <c r="D37" s="82"/>
      <c r="E37" s="89" t="s">
        <v>204</v>
      </c>
      <c r="F37" s="110">
        <f>+F36/300</f>
        <v>2.2633333333333332</v>
      </c>
      <c r="G37" s="83"/>
      <c r="H37" s="80"/>
      <c r="I37" s="131" t="s">
        <v>189</v>
      </c>
      <c r="J37" s="113">
        <f>+J36/H30</f>
        <v>0.38264948453608244</v>
      </c>
      <c r="K37" s="112">
        <f>+K36/H30</f>
        <v>0.77025036818851256</v>
      </c>
      <c r="L37" s="83"/>
      <c r="M37" s="522"/>
      <c r="N37" s="503"/>
      <c r="O37" s="83"/>
      <c r="P37" s="83"/>
      <c r="Q37" s="83"/>
    </row>
    <row r="38" spans="1:17" s="81" customFormat="1" x14ac:dyDescent="0.25">
      <c r="A38" s="88"/>
      <c r="B38" s="79"/>
      <c r="C38" s="80"/>
      <c r="D38" s="82"/>
      <c r="E38" s="109"/>
      <c r="G38" s="83"/>
      <c r="H38" s="80"/>
      <c r="I38" s="131"/>
      <c r="J38" s="131"/>
      <c r="K38" s="131"/>
      <c r="L38" s="83"/>
      <c r="M38" s="522"/>
      <c r="N38" s="503"/>
      <c r="O38" s="83"/>
      <c r="P38" s="83"/>
      <c r="Q38" s="83"/>
    </row>
    <row r="39" spans="1:17" s="107" customFormat="1" x14ac:dyDescent="0.25">
      <c r="A39" s="104"/>
      <c r="B39" s="105"/>
      <c r="C39" s="106"/>
      <c r="D39" s="108"/>
      <c r="E39" s="151"/>
      <c r="H39" s="106"/>
      <c r="M39" s="529"/>
      <c r="N39" s="504"/>
    </row>
    <row r="40" spans="1:17" s="98" customFormat="1" x14ac:dyDescent="0.25">
      <c r="A40" s="15"/>
      <c r="B40" s="87"/>
      <c r="C40" s="80"/>
      <c r="D40" s="115"/>
      <c r="E40" s="116"/>
      <c r="G40" s="117"/>
      <c r="H40" s="80"/>
      <c r="J40" s="152"/>
      <c r="K40" s="153"/>
      <c r="L40" s="117"/>
      <c r="M40" s="428"/>
      <c r="N40" s="500"/>
      <c r="O40" s="117"/>
      <c r="P40" s="117"/>
      <c r="Q40" s="117"/>
    </row>
    <row r="41" spans="1:17" s="98" customFormat="1" x14ac:dyDescent="0.25">
      <c r="A41" s="314" t="s">
        <v>232</v>
      </c>
      <c r="B41" s="87"/>
      <c r="C41" s="80"/>
      <c r="D41" s="115"/>
      <c r="E41" s="116"/>
      <c r="G41" s="117"/>
      <c r="H41" s="80"/>
      <c r="K41" s="114" t="s">
        <v>144</v>
      </c>
      <c r="L41" s="117"/>
      <c r="M41" s="428"/>
      <c r="N41" s="500"/>
      <c r="O41" s="117"/>
      <c r="P41" s="117"/>
      <c r="Q41" s="117"/>
    </row>
    <row r="42" spans="1:17" s="98" customFormat="1" x14ac:dyDescent="0.25">
      <c r="A42" s="15"/>
      <c r="B42" s="121"/>
      <c r="C42" s="80"/>
      <c r="D42" s="115"/>
      <c r="E42" s="116"/>
      <c r="G42" s="117"/>
      <c r="H42" s="118">
        <f>ROUNDUP(F48,0)</f>
        <v>840</v>
      </c>
      <c r="I42" s="119" t="s">
        <v>201</v>
      </c>
      <c r="J42" s="87">
        <f>+B7*F48</f>
        <v>261.24</v>
      </c>
      <c r="K42" s="120">
        <f>+F48*G7</f>
        <v>541.24000000000012</v>
      </c>
      <c r="L42" s="117"/>
      <c r="M42" s="428"/>
      <c r="N42" s="500"/>
      <c r="O42" s="117"/>
      <c r="P42" s="117"/>
      <c r="Q42" s="117"/>
    </row>
    <row r="43" spans="1:17" s="125" customFormat="1" ht="31.5" x14ac:dyDescent="0.25">
      <c r="A43" s="653" t="s">
        <v>268</v>
      </c>
      <c r="B43" s="148" t="s">
        <v>199</v>
      </c>
      <c r="C43" s="149" t="s">
        <v>196</v>
      </c>
      <c r="D43" s="148" t="s">
        <v>197</v>
      </c>
      <c r="E43" s="122" t="s">
        <v>198</v>
      </c>
      <c r="F43" s="150" t="s">
        <v>188</v>
      </c>
      <c r="G43" s="124"/>
      <c r="H43" s="302">
        <v>0</v>
      </c>
      <c r="I43" s="62" t="s">
        <v>177</v>
      </c>
      <c r="J43" s="87">
        <f>+H43*45</f>
        <v>0</v>
      </c>
      <c r="K43" s="93">
        <f>+H43*85</f>
        <v>0</v>
      </c>
      <c r="L43" s="124"/>
      <c r="M43" s="526"/>
      <c r="N43" s="502"/>
      <c r="O43" s="124"/>
      <c r="P43" s="124"/>
      <c r="Q43" s="124"/>
    </row>
    <row r="44" spans="1:17" s="81" customFormat="1" x14ac:dyDescent="0.25">
      <c r="A44" s="78" t="s">
        <v>207</v>
      </c>
      <c r="B44" s="199" t="s">
        <v>203</v>
      </c>
      <c r="C44" s="192">
        <v>100</v>
      </c>
      <c r="D44" s="199">
        <v>30</v>
      </c>
      <c r="E44" s="145">
        <f>IF(B44="Daily",7, IF(B44="Weekly",1, IF(B44="Every Other Day",4,"")))</f>
        <v>7</v>
      </c>
      <c r="F44" s="146">
        <f>+D44*E44</f>
        <v>210</v>
      </c>
      <c r="G44" s="83"/>
      <c r="H44" s="80">
        <f>IF(E48&gt;=25, E48+2, E48+1)</f>
        <v>30</v>
      </c>
      <c r="I44" s="62" t="s">
        <v>217</v>
      </c>
      <c r="J44" s="87"/>
      <c r="K44" s="93"/>
      <c r="L44" s="83"/>
      <c r="M44" s="522"/>
      <c r="N44" s="503"/>
      <c r="O44" s="83"/>
      <c r="P44" s="83"/>
      <c r="Q44" s="83"/>
    </row>
    <row r="45" spans="1:17" s="81" customFormat="1" x14ac:dyDescent="0.25">
      <c r="A45" s="78" t="s">
        <v>208</v>
      </c>
      <c r="B45" s="199" t="s">
        <v>203</v>
      </c>
      <c r="C45" s="192">
        <v>100</v>
      </c>
      <c r="D45" s="199">
        <v>30</v>
      </c>
      <c r="E45" s="147">
        <f>IF(B45="Daily",7, IF(B45="Weekly",1, IF(B45="Every Other Day",4,"")))</f>
        <v>7</v>
      </c>
      <c r="F45" s="146">
        <f t="shared" ref="F45:F47" si="2">+D45*E45</f>
        <v>210</v>
      </c>
      <c r="G45" s="83"/>
      <c r="H45" s="80">
        <f>ROUNDUP(F49,0)</f>
        <v>3</v>
      </c>
      <c r="I45" s="62" t="s">
        <v>190</v>
      </c>
      <c r="J45" s="87"/>
      <c r="K45" s="93"/>
      <c r="L45" s="83"/>
      <c r="M45" s="522"/>
      <c r="N45" s="503"/>
      <c r="O45" s="83"/>
      <c r="P45" s="83"/>
      <c r="Q45" s="83"/>
    </row>
    <row r="46" spans="1:17" s="81" customFormat="1" x14ac:dyDescent="0.25">
      <c r="A46" s="78" t="s">
        <v>209</v>
      </c>
      <c r="B46" s="199" t="s">
        <v>203</v>
      </c>
      <c r="C46" s="192">
        <v>100</v>
      </c>
      <c r="D46" s="199">
        <v>30</v>
      </c>
      <c r="E46" s="147">
        <f>IF(B46="Daily",7, IF(B46="Weekly",1, IF(B46="Every Other Day",4,"")))</f>
        <v>7</v>
      </c>
      <c r="F46" s="146">
        <f t="shared" si="2"/>
        <v>210</v>
      </c>
      <c r="G46" s="83"/>
      <c r="H46" s="80">
        <f>H44</f>
        <v>30</v>
      </c>
      <c r="I46" s="62" t="s">
        <v>200</v>
      </c>
      <c r="J46" s="87"/>
      <c r="K46" s="93"/>
      <c r="L46" s="83"/>
      <c r="M46" s="522"/>
      <c r="N46" s="503"/>
      <c r="O46" s="83"/>
      <c r="P46" s="83"/>
      <c r="Q46" s="83"/>
    </row>
    <row r="47" spans="1:17" s="81" customFormat="1" x14ac:dyDescent="0.25">
      <c r="A47" s="100" t="s">
        <v>210</v>
      </c>
      <c r="B47" s="101" t="s">
        <v>203</v>
      </c>
      <c r="C47" s="102">
        <v>100</v>
      </c>
      <c r="D47" s="101">
        <v>30</v>
      </c>
      <c r="E47" s="144">
        <f>IF(B47="Daily",7, IF(B47="Weekly",1, IF(B47="Every Other Day",4,"")))</f>
        <v>7</v>
      </c>
      <c r="F47" s="103">
        <f t="shared" si="2"/>
        <v>210</v>
      </c>
      <c r="G47" s="83"/>
      <c r="H47" s="303">
        <v>0</v>
      </c>
      <c r="I47" s="71" t="s">
        <v>192</v>
      </c>
      <c r="J47" s="142">
        <f>H47*3.65</f>
        <v>0</v>
      </c>
      <c r="K47" s="143"/>
      <c r="L47" s="83"/>
      <c r="M47" s="522"/>
      <c r="N47" s="503"/>
      <c r="O47" s="83"/>
      <c r="P47" s="83"/>
      <c r="Q47" s="83"/>
    </row>
    <row r="48" spans="1:17" s="81" customFormat="1" x14ac:dyDescent="0.25">
      <c r="A48" s="88"/>
      <c r="B48" s="79"/>
      <c r="C48" s="80"/>
      <c r="D48" s="82"/>
      <c r="E48" s="167">
        <f>SUM(E44:E47)</f>
        <v>28</v>
      </c>
      <c r="F48" s="127">
        <f>SUM(F44:F47)</f>
        <v>840</v>
      </c>
      <c r="G48" s="83"/>
      <c r="H48" s="80"/>
      <c r="J48" s="128">
        <f>SUM(J42:J47)</f>
        <v>261.24</v>
      </c>
      <c r="K48" s="129">
        <f>ROUNDUP(SUM(K42:K47),0)</f>
        <v>542</v>
      </c>
      <c r="L48" s="83"/>
      <c r="M48" s="433" t="s">
        <v>202</v>
      </c>
      <c r="N48" s="428">
        <f>+K48-J48</f>
        <v>280.76</v>
      </c>
      <c r="O48" s="83"/>
      <c r="P48" s="83"/>
      <c r="Q48" s="83"/>
    </row>
    <row r="49" spans="1:18" s="81" customFormat="1" x14ac:dyDescent="0.25">
      <c r="A49" s="88"/>
      <c r="B49" s="79"/>
      <c r="C49" s="80"/>
      <c r="D49" s="82"/>
      <c r="E49" s="89" t="s">
        <v>204</v>
      </c>
      <c r="F49" s="110">
        <f>+F48/300</f>
        <v>2.8</v>
      </c>
      <c r="G49" s="83"/>
      <c r="H49" s="80"/>
      <c r="I49" s="131" t="s">
        <v>189</v>
      </c>
      <c r="J49" s="113">
        <f>+J48/H42</f>
        <v>0.311</v>
      </c>
      <c r="K49" s="112">
        <f>+K48/H42</f>
        <v>0.64523809523809528</v>
      </c>
      <c r="L49" s="83"/>
      <c r="M49" s="522"/>
      <c r="N49" s="503"/>
      <c r="O49" s="83"/>
      <c r="P49" s="83"/>
      <c r="Q49" s="83"/>
    </row>
    <row r="50" spans="1:18" s="81" customFormat="1" x14ac:dyDescent="0.25">
      <c r="A50" s="88"/>
      <c r="B50" s="79"/>
      <c r="C50" s="80"/>
      <c r="D50" s="82"/>
      <c r="E50" s="109"/>
      <c r="G50" s="83"/>
      <c r="H50" s="80"/>
      <c r="I50" s="131"/>
      <c r="J50" s="131"/>
      <c r="K50" s="131"/>
      <c r="L50" s="83"/>
      <c r="M50" s="522"/>
      <c r="N50" s="503"/>
      <c r="O50" s="83"/>
      <c r="P50" s="83"/>
      <c r="Q50" s="83"/>
    </row>
    <row r="51" spans="1:18" s="107" customFormat="1" x14ac:dyDescent="0.25">
      <c r="A51" s="104"/>
      <c r="B51" s="105"/>
      <c r="C51" s="106"/>
      <c r="D51" s="108"/>
      <c r="E51" s="151"/>
      <c r="H51" s="106"/>
      <c r="M51" s="529"/>
      <c r="N51" s="504"/>
    </row>
    <row r="52" spans="1:18" s="98" customFormat="1" x14ac:dyDescent="0.25">
      <c r="A52" s="15"/>
      <c r="B52" s="87"/>
      <c r="C52" s="80"/>
      <c r="D52" s="115"/>
      <c r="E52" s="116"/>
      <c r="G52" s="117"/>
      <c r="H52" s="80"/>
      <c r="J52" s="152"/>
      <c r="K52" s="153"/>
      <c r="L52" s="117"/>
      <c r="M52" s="428"/>
      <c r="N52" s="500"/>
      <c r="O52" s="117"/>
      <c r="P52" s="117"/>
      <c r="Q52" s="117"/>
    </row>
    <row r="53" spans="1:18" s="98" customFormat="1" x14ac:dyDescent="0.25">
      <c r="A53" s="15"/>
      <c r="B53" s="87"/>
      <c r="C53" s="80"/>
      <c r="D53" s="115"/>
      <c r="E53" s="116"/>
      <c r="G53" s="117"/>
      <c r="H53" s="80"/>
      <c r="K53" s="114" t="s">
        <v>144</v>
      </c>
      <c r="L53" s="117"/>
      <c r="M53" s="428"/>
      <c r="N53" s="500"/>
      <c r="O53" s="117"/>
      <c r="P53" s="117"/>
      <c r="Q53" s="117"/>
    </row>
    <row r="54" spans="1:18" s="98" customFormat="1" x14ac:dyDescent="0.25">
      <c r="A54" s="15"/>
      <c r="B54" s="121"/>
      <c r="C54" s="80"/>
      <c r="D54" s="115"/>
      <c r="E54" s="116"/>
      <c r="G54" s="117"/>
      <c r="H54" s="118">
        <f>ROUNDUP(F60,0)</f>
        <v>840</v>
      </c>
      <c r="I54" s="119" t="s">
        <v>201</v>
      </c>
      <c r="J54" s="87">
        <f>+B7*F60</f>
        <v>261.24</v>
      </c>
      <c r="K54" s="120">
        <f>+F60*G7</f>
        <v>541.24000000000012</v>
      </c>
      <c r="L54" s="117"/>
      <c r="M54" s="428"/>
      <c r="N54" s="500"/>
      <c r="O54" s="117"/>
      <c r="P54" s="117"/>
      <c r="Q54" s="117"/>
    </row>
    <row r="55" spans="1:18" s="125" customFormat="1" ht="31.5" x14ac:dyDescent="0.25">
      <c r="A55" s="653" t="s">
        <v>269</v>
      </c>
      <c r="B55" s="148" t="s">
        <v>199</v>
      </c>
      <c r="C55" s="149" t="s">
        <v>196</v>
      </c>
      <c r="D55" s="148" t="s">
        <v>197</v>
      </c>
      <c r="E55" s="122" t="s">
        <v>198</v>
      </c>
      <c r="F55" s="150" t="s">
        <v>188</v>
      </c>
      <c r="G55" s="124"/>
      <c r="H55" s="302">
        <v>0</v>
      </c>
      <c r="I55" s="62" t="s">
        <v>177</v>
      </c>
      <c r="J55" s="87">
        <f>+H55*45</f>
        <v>0</v>
      </c>
      <c r="K55" s="93">
        <f>+H55*85</f>
        <v>0</v>
      </c>
      <c r="L55" s="124"/>
      <c r="M55" s="526"/>
      <c r="N55" s="502"/>
      <c r="O55" s="124"/>
      <c r="P55" s="124"/>
      <c r="Q55" s="124"/>
    </row>
    <row r="56" spans="1:18" s="81" customFormat="1" x14ac:dyDescent="0.25">
      <c r="A56" s="78" t="s">
        <v>211</v>
      </c>
      <c r="B56" s="199" t="s">
        <v>203</v>
      </c>
      <c r="C56" s="192">
        <v>100</v>
      </c>
      <c r="D56" s="199">
        <v>30</v>
      </c>
      <c r="E56" s="145">
        <f>IF(B56="Daily",7, IF(B56="Weekly",1, IF(B56="Every Other Day",4,"")))</f>
        <v>7</v>
      </c>
      <c r="F56" s="146">
        <f>+D56*E56</f>
        <v>210</v>
      </c>
      <c r="G56" s="83"/>
      <c r="H56" s="80">
        <f>IF(E60&gt;=25, E60+2, E60+1)</f>
        <v>30</v>
      </c>
      <c r="I56" s="62" t="s">
        <v>217</v>
      </c>
      <c r="J56" s="87"/>
      <c r="K56" s="93"/>
      <c r="L56" s="83"/>
      <c r="M56" s="522"/>
      <c r="N56" s="503"/>
      <c r="O56" s="83"/>
      <c r="P56" s="83"/>
      <c r="Q56" s="83"/>
    </row>
    <row r="57" spans="1:18" s="81" customFormat="1" x14ac:dyDescent="0.25">
      <c r="A57" s="78" t="s">
        <v>212</v>
      </c>
      <c r="B57" s="199" t="s">
        <v>203</v>
      </c>
      <c r="C57" s="192">
        <v>100</v>
      </c>
      <c r="D57" s="199">
        <v>30</v>
      </c>
      <c r="E57" s="147">
        <f>IF(B57="Daily",7, IF(B57="Weekly",1, IF(B57="Every Other Day",4,"")))</f>
        <v>7</v>
      </c>
      <c r="F57" s="146">
        <f t="shared" ref="F57:F59" si="3">+D57*E57</f>
        <v>210</v>
      </c>
      <c r="G57" s="83"/>
      <c r="H57" s="80">
        <f>ROUNDUP(F61,0)</f>
        <v>3</v>
      </c>
      <c r="I57" s="62" t="s">
        <v>190</v>
      </c>
      <c r="J57" s="87"/>
      <c r="K57" s="93"/>
      <c r="L57" s="83"/>
      <c r="M57" s="522"/>
      <c r="N57" s="503"/>
      <c r="O57" s="83"/>
      <c r="P57" s="83"/>
      <c r="Q57" s="83"/>
    </row>
    <row r="58" spans="1:18" s="81" customFormat="1" x14ac:dyDescent="0.25">
      <c r="A58" s="78" t="s">
        <v>213</v>
      </c>
      <c r="B58" s="199" t="s">
        <v>203</v>
      </c>
      <c r="C58" s="192">
        <v>100</v>
      </c>
      <c r="D58" s="199">
        <v>30</v>
      </c>
      <c r="E58" s="147">
        <f>IF(B58="Daily",7, IF(B58="Weekly",1, IF(B58="Every Other Day",4,"")))</f>
        <v>7</v>
      </c>
      <c r="F58" s="146">
        <f t="shared" si="3"/>
        <v>210</v>
      </c>
      <c r="G58" s="83"/>
      <c r="H58" s="80">
        <f>H56</f>
        <v>30</v>
      </c>
      <c r="I58" s="62" t="s">
        <v>200</v>
      </c>
      <c r="J58" s="87"/>
      <c r="K58" s="93"/>
      <c r="L58" s="83"/>
      <c r="M58" s="522"/>
      <c r="N58" s="503"/>
      <c r="O58" s="83"/>
      <c r="P58" s="83"/>
      <c r="Q58" s="83"/>
    </row>
    <row r="59" spans="1:18" s="81" customFormat="1" x14ac:dyDescent="0.25">
      <c r="A59" s="100" t="s">
        <v>214</v>
      </c>
      <c r="B59" s="101" t="s">
        <v>203</v>
      </c>
      <c r="C59" s="102">
        <v>100</v>
      </c>
      <c r="D59" s="101">
        <v>30</v>
      </c>
      <c r="E59" s="144">
        <f>IF(B59="Daily",7, IF(B59="Weekly",1, IF(B59="Every Other Day",4,"")))</f>
        <v>7</v>
      </c>
      <c r="F59" s="103">
        <f t="shared" si="3"/>
        <v>210</v>
      </c>
      <c r="G59" s="83"/>
      <c r="H59" s="303">
        <v>0</v>
      </c>
      <c r="I59" s="71" t="s">
        <v>192</v>
      </c>
      <c r="J59" s="142">
        <f>H59*3.65</f>
        <v>0</v>
      </c>
      <c r="K59" s="143"/>
      <c r="L59" s="83"/>
      <c r="M59" s="522"/>
      <c r="N59" s="503"/>
      <c r="O59" s="83"/>
      <c r="P59" s="83"/>
      <c r="Q59" s="83"/>
    </row>
    <row r="60" spans="1:18" s="81" customFormat="1" x14ac:dyDescent="0.25">
      <c r="A60" s="88"/>
      <c r="B60" s="79"/>
      <c r="C60" s="80"/>
      <c r="D60" s="82"/>
      <c r="E60" s="126">
        <f>SUM(E56:E59)</f>
        <v>28</v>
      </c>
      <c r="F60" s="127">
        <f>SUM(F56:F59)</f>
        <v>840</v>
      </c>
      <c r="G60" s="83"/>
      <c r="H60" s="80"/>
      <c r="J60" s="128">
        <f>SUM(J54:J59)</f>
        <v>261.24</v>
      </c>
      <c r="K60" s="129">
        <f>ROUNDUP(SUM(K54:K59),0)</f>
        <v>542</v>
      </c>
      <c r="L60" s="83"/>
      <c r="M60" s="433" t="s">
        <v>202</v>
      </c>
      <c r="N60" s="428">
        <f>+K60-J60</f>
        <v>280.76</v>
      </c>
      <c r="O60" s="83"/>
      <c r="P60" s="83"/>
      <c r="Q60" s="83"/>
    </row>
    <row r="61" spans="1:18" s="81" customFormat="1" x14ac:dyDescent="0.25">
      <c r="A61" s="88"/>
      <c r="B61" s="79"/>
      <c r="C61" s="80"/>
      <c r="D61" s="82"/>
      <c r="E61" s="89" t="s">
        <v>204</v>
      </c>
      <c r="F61" s="110">
        <f>+F60/300</f>
        <v>2.8</v>
      </c>
      <c r="G61" s="83"/>
      <c r="H61" s="80"/>
      <c r="I61" s="131" t="s">
        <v>189</v>
      </c>
      <c r="J61" s="113">
        <f>+J60/H54</f>
        <v>0.311</v>
      </c>
      <c r="K61" s="112">
        <f>+K60/H54</f>
        <v>0.64523809523809528</v>
      </c>
      <c r="L61" s="83"/>
      <c r="M61" s="522"/>
      <c r="N61" s="503"/>
      <c r="O61" s="83"/>
      <c r="P61" s="83"/>
      <c r="Q61" s="83"/>
    </row>
    <row r="62" spans="1:18" s="81" customFormat="1" x14ac:dyDescent="0.25">
      <c r="A62" s="88"/>
      <c r="B62" s="79"/>
      <c r="C62" s="80"/>
      <c r="D62" s="82"/>
      <c r="E62" s="109"/>
      <c r="G62" s="83"/>
      <c r="H62" s="80"/>
      <c r="I62" s="131"/>
      <c r="J62" s="131"/>
      <c r="K62" s="131"/>
      <c r="L62" s="83"/>
      <c r="M62" s="522"/>
      <c r="N62" s="503"/>
      <c r="O62" s="83"/>
      <c r="P62" s="83"/>
      <c r="Q62" s="83"/>
    </row>
    <row r="63" spans="1:18" s="135" customFormat="1" x14ac:dyDescent="0.25">
      <c r="A63" s="132"/>
      <c r="B63" s="133"/>
      <c r="C63" s="134"/>
      <c r="D63" s="136"/>
      <c r="E63" s="137"/>
      <c r="H63" s="134"/>
      <c r="I63" s="138"/>
      <c r="J63" s="139"/>
      <c r="K63" s="140"/>
      <c r="M63" s="530"/>
      <c r="N63" s="505"/>
    </row>
    <row r="64" spans="1:18" s="81" customFormat="1" x14ac:dyDescent="0.25">
      <c r="A64" s="88"/>
      <c r="B64" s="79"/>
      <c r="C64" s="80"/>
      <c r="E64" s="82"/>
      <c r="F64" s="109"/>
      <c r="H64" s="83"/>
      <c r="I64" s="80"/>
      <c r="J64" s="110"/>
      <c r="K64" s="111"/>
      <c r="L64" s="112"/>
      <c r="M64" s="83"/>
      <c r="N64" s="522"/>
      <c r="O64" s="503"/>
      <c r="P64" s="83"/>
      <c r="Q64" s="83"/>
      <c r="R64" s="83"/>
    </row>
    <row r="65" spans="1:18" s="81" customFormat="1" x14ac:dyDescent="0.25">
      <c r="A65" s="654" t="s">
        <v>215</v>
      </c>
      <c r="B65" s="79" t="s">
        <v>216</v>
      </c>
      <c r="C65" s="80"/>
      <c r="E65" s="82"/>
      <c r="F65" s="109"/>
      <c r="H65" s="83"/>
      <c r="I65" s="80"/>
      <c r="J65" s="110"/>
      <c r="K65" s="111"/>
      <c r="L65" s="112"/>
      <c r="M65" s="83"/>
      <c r="N65" s="522"/>
      <c r="O65" s="503"/>
      <c r="P65" s="83"/>
      <c r="Q65" s="83"/>
      <c r="R65" s="83"/>
    </row>
    <row r="66" spans="1:18" s="81" customFormat="1" x14ac:dyDescent="0.25">
      <c r="A66" s="13" t="s">
        <v>195</v>
      </c>
      <c r="B66" s="79"/>
      <c r="C66" s="80"/>
      <c r="E66" s="82"/>
      <c r="F66" s="109"/>
      <c r="H66" s="83"/>
      <c r="I66" s="80"/>
      <c r="J66" s="110"/>
      <c r="K66" s="111"/>
      <c r="L66" s="112"/>
      <c r="M66" s="83"/>
      <c r="N66" s="522"/>
      <c r="O66" s="503"/>
      <c r="P66" s="83"/>
      <c r="Q66" s="83"/>
      <c r="R66" s="83"/>
    </row>
    <row r="67" spans="1:18" s="81" customFormat="1" x14ac:dyDescent="0.25">
      <c r="A67" s="88"/>
      <c r="B67" s="79"/>
      <c r="C67" s="80"/>
      <c r="E67" s="82"/>
      <c r="F67" s="109"/>
      <c r="H67" s="83"/>
      <c r="I67" s="80"/>
      <c r="J67" s="110"/>
      <c r="K67" s="111"/>
      <c r="L67" s="112"/>
      <c r="M67" s="83"/>
      <c r="N67" s="522"/>
      <c r="O67" s="503"/>
      <c r="P67" s="83"/>
      <c r="Q67" s="83"/>
      <c r="R67" s="83"/>
    </row>
    <row r="68" spans="1:18" s="379" customFormat="1" x14ac:dyDescent="0.25">
      <c r="E68" s="380"/>
      <c r="G68" s="381"/>
      <c r="H68" s="382"/>
      <c r="I68" s="383"/>
      <c r="L68" s="141"/>
      <c r="N68" s="531"/>
      <c r="O68" s="506"/>
    </row>
    <row r="69" spans="1:18" s="379" customFormat="1" x14ac:dyDescent="0.25">
      <c r="D69" s="380"/>
      <c r="F69" s="141"/>
      <c r="G69" s="382"/>
      <c r="H69" s="383"/>
      <c r="K69" s="141"/>
      <c r="N69" s="506"/>
      <c r="O69" s="506"/>
    </row>
    <row r="70" spans="1:18" s="379" customFormat="1" x14ac:dyDescent="0.25">
      <c r="D70" s="380"/>
      <c r="F70" s="141"/>
      <c r="G70" s="382"/>
      <c r="H70" s="383"/>
      <c r="K70" s="141"/>
      <c r="N70" s="506"/>
      <c r="O70" s="506"/>
    </row>
    <row r="71" spans="1:18" s="379" customFormat="1" x14ac:dyDescent="0.25">
      <c r="D71" s="380"/>
      <c r="F71" s="141"/>
      <c r="G71" s="382"/>
      <c r="H71" s="383"/>
      <c r="K71" s="141"/>
      <c r="N71" s="506"/>
      <c r="O71" s="506"/>
    </row>
    <row r="72" spans="1:18" x14ac:dyDescent="0.25">
      <c r="D72" s="67"/>
      <c r="E72"/>
      <c r="F72" s="62"/>
      <c r="G72" s="13"/>
      <c r="H72" s="96"/>
      <c r="I72"/>
      <c r="K72" s="62"/>
      <c r="L72"/>
      <c r="M72" s="62"/>
      <c r="N72" s="507"/>
      <c r="O72" s="507"/>
    </row>
    <row r="73" spans="1:18" x14ac:dyDescent="0.25">
      <c r="A73" t="s">
        <v>351</v>
      </c>
      <c r="D73" s="67"/>
      <c r="E73" s="62"/>
      <c r="F73" s="62"/>
      <c r="G73" s="13"/>
      <c r="H73" s="96"/>
      <c r="I73" s="62"/>
      <c r="J73" s="62"/>
      <c r="K73" s="62"/>
      <c r="L73"/>
      <c r="N73" s="507"/>
      <c r="O73" s="507"/>
    </row>
    <row r="74" spans="1:18" ht="17.25" customHeight="1" x14ac:dyDescent="0.25">
      <c r="D74" s="532" t="s">
        <v>375</v>
      </c>
      <c r="E74" s="62"/>
      <c r="F74" s="62"/>
      <c r="G74" s="13"/>
      <c r="H74" s="96"/>
      <c r="I74" s="62"/>
      <c r="J74" s="62"/>
      <c r="K74" s="62"/>
      <c r="L74"/>
      <c r="N74" s="507"/>
      <c r="O74" s="507"/>
    </row>
    <row r="75" spans="1:18" s="61" customFormat="1" x14ac:dyDescent="0.25">
      <c r="A75" s="61" t="s">
        <v>368</v>
      </c>
      <c r="D75" s="61" t="s">
        <v>369</v>
      </c>
      <c r="E75" s="453"/>
      <c r="F75" s="453"/>
      <c r="G75" s="458"/>
      <c r="H75" s="459"/>
      <c r="I75" s="453"/>
      <c r="J75" s="453"/>
      <c r="K75" s="453"/>
      <c r="N75" s="563"/>
      <c r="O75" s="563"/>
    </row>
    <row r="76" spans="1:18" x14ac:dyDescent="0.25">
      <c r="B76" s="61"/>
      <c r="D76" s="67"/>
      <c r="E76" s="62" t="s">
        <v>366</v>
      </c>
      <c r="F76" s="461">
        <f>F60</f>
        <v>840</v>
      </c>
      <c r="G76" s="13"/>
      <c r="H76" s="96"/>
      <c r="I76" s="62"/>
      <c r="J76" s="62"/>
      <c r="K76" s="62"/>
      <c r="L76"/>
      <c r="N76" s="507"/>
      <c r="O76" s="507"/>
    </row>
    <row r="77" spans="1:18" x14ac:dyDescent="0.25">
      <c r="A77" s="368" t="s">
        <v>364</v>
      </c>
      <c r="B77" s="460">
        <f>N60</f>
        <v>280.76</v>
      </c>
      <c r="D77" s="67"/>
      <c r="E77" s="71" t="s">
        <v>360</v>
      </c>
      <c r="F77" s="71">
        <v>10</v>
      </c>
      <c r="G77" s="13"/>
      <c r="H77" s="96"/>
      <c r="I77" s="62"/>
      <c r="J77" s="62"/>
      <c r="K77" s="62"/>
      <c r="L77"/>
      <c r="N77"/>
    </row>
    <row r="78" spans="1:18" x14ac:dyDescent="0.25">
      <c r="D78" s="67"/>
      <c r="E78" s="62"/>
      <c r="F78" s="62">
        <f>+F77*F76</f>
        <v>8400</v>
      </c>
      <c r="G78" s="13" t="s">
        <v>367</v>
      </c>
      <c r="H78" s="96"/>
      <c r="I78" s="62"/>
      <c r="J78" s="62"/>
      <c r="K78" s="62"/>
      <c r="L78"/>
      <c r="N78"/>
    </row>
    <row r="79" spans="1:18" x14ac:dyDescent="0.25">
      <c r="D79" s="67"/>
      <c r="E79" s="453" t="s">
        <v>361</v>
      </c>
      <c r="F79" s="453">
        <f>ROUNDUP((F78/300),0)</f>
        <v>28</v>
      </c>
      <c r="G79" s="13"/>
      <c r="H79" s="96"/>
      <c r="I79" s="62"/>
      <c r="J79" s="62"/>
      <c r="K79" s="62"/>
      <c r="L79"/>
      <c r="N79"/>
    </row>
    <row r="80" spans="1:18" x14ac:dyDescent="0.25">
      <c r="D80" s="67"/>
      <c r="E80" s="62" t="s">
        <v>362</v>
      </c>
      <c r="F80" s="454">
        <f>+F79*100</f>
        <v>2800</v>
      </c>
      <c r="G80" s="13"/>
      <c r="H80" s="96"/>
      <c r="I80" s="62"/>
      <c r="J80" s="62"/>
      <c r="K80" s="62"/>
      <c r="L80"/>
      <c r="N80"/>
    </row>
    <row r="81" spans="1:17" x14ac:dyDescent="0.25">
      <c r="D81" s="67"/>
      <c r="E81" s="62"/>
      <c r="F81" s="62"/>
      <c r="G81" s="13"/>
      <c r="H81" s="96"/>
      <c r="I81" s="62"/>
      <c r="J81" s="62"/>
      <c r="K81" s="62"/>
      <c r="L81"/>
      <c r="N81"/>
    </row>
    <row r="82" spans="1:17" x14ac:dyDescent="0.25">
      <c r="D82" s="455"/>
      <c r="E82" s="456" t="s">
        <v>363</v>
      </c>
      <c r="F82" s="457">
        <f>+F80/10</f>
        <v>280</v>
      </c>
      <c r="G82" s="13"/>
      <c r="H82" s="96"/>
      <c r="I82" s="62"/>
      <c r="J82" s="62"/>
      <c r="K82" s="62"/>
      <c r="L82"/>
      <c r="N82"/>
    </row>
    <row r="83" spans="1:17" x14ac:dyDescent="0.25">
      <c r="N83"/>
    </row>
    <row r="84" spans="1:17" x14ac:dyDescent="0.25">
      <c r="A84" s="379"/>
      <c r="B84" s="379"/>
      <c r="C84" s="379"/>
      <c r="D84" s="380"/>
      <c r="E84" s="141"/>
      <c r="F84" s="141"/>
      <c r="G84" s="382"/>
      <c r="H84" s="383"/>
      <c r="I84" s="141"/>
      <c r="J84" s="141"/>
      <c r="K84" s="141"/>
      <c r="L84" s="379"/>
      <c r="M84" s="379"/>
      <c r="N84" s="379"/>
      <c r="O84" s="379"/>
      <c r="P84" s="379"/>
      <c r="Q84" s="379"/>
    </row>
    <row r="85" spans="1:17" x14ac:dyDescent="0.25">
      <c r="A85" s="379"/>
      <c r="B85" s="379"/>
      <c r="C85" s="379"/>
      <c r="D85" s="380"/>
      <c r="E85" s="141"/>
      <c r="F85" s="141"/>
      <c r="G85" s="382"/>
      <c r="H85" s="383"/>
      <c r="I85" s="141"/>
      <c r="J85" s="141"/>
      <c r="K85" s="141"/>
      <c r="L85" s="379"/>
      <c r="M85" s="379"/>
      <c r="N85" s="379"/>
      <c r="O85" s="379"/>
      <c r="P85" s="379"/>
      <c r="Q85" s="379"/>
    </row>
    <row r="86" spans="1:17" x14ac:dyDescent="0.25">
      <c r="A86" s="379"/>
      <c r="B86" s="379"/>
      <c r="C86" s="379"/>
      <c r="D86" s="380"/>
      <c r="E86" s="141"/>
      <c r="F86" s="141"/>
      <c r="G86" s="382"/>
      <c r="H86" s="383"/>
      <c r="I86" s="141"/>
      <c r="J86" s="141"/>
      <c r="K86" s="141"/>
      <c r="L86" s="379"/>
      <c r="M86" s="379"/>
      <c r="N86" s="379"/>
      <c r="O86" s="379"/>
      <c r="P86" s="379"/>
      <c r="Q86" s="379"/>
    </row>
    <row r="87" spans="1:17" x14ac:dyDescent="0.25">
      <c r="D87" s="67"/>
      <c r="E87" s="62"/>
      <c r="F87" s="62"/>
      <c r="G87" s="13"/>
      <c r="H87" s="96"/>
      <c r="I87" s="62"/>
      <c r="J87" s="62"/>
      <c r="K87" s="62"/>
      <c r="L87"/>
      <c r="N87"/>
    </row>
    <row r="88" spans="1:17" x14ac:dyDescent="0.25">
      <c r="D88" s="67"/>
      <c r="E88" s="62"/>
      <c r="F88" s="62"/>
      <c r="G88" s="13"/>
      <c r="H88" s="96"/>
      <c r="I88" s="62"/>
      <c r="J88" s="62"/>
      <c r="K88" s="62"/>
      <c r="L88"/>
      <c r="N88"/>
    </row>
    <row r="89" spans="1:17" x14ac:dyDescent="0.25">
      <c r="A89" t="s">
        <v>387</v>
      </c>
      <c r="D89" s="67"/>
      <c r="E89" s="62"/>
      <c r="F89" s="62"/>
      <c r="G89" s="13"/>
      <c r="H89" t="s">
        <v>387</v>
      </c>
      <c r="I89"/>
      <c r="K89" s="67"/>
      <c r="L89"/>
      <c r="N89"/>
    </row>
    <row r="90" spans="1:17" x14ac:dyDescent="0.25">
      <c r="A90" t="s">
        <v>388</v>
      </c>
      <c r="D90" s="67"/>
      <c r="E90" s="62"/>
      <c r="F90" s="62"/>
      <c r="G90" s="13"/>
      <c r="H90" s="64" t="s">
        <v>390</v>
      </c>
      <c r="I90"/>
      <c r="K90" s="67"/>
      <c r="L90"/>
      <c r="N90"/>
    </row>
    <row r="91" spans="1:17" x14ac:dyDescent="0.25">
      <c r="D91" s="67"/>
      <c r="E91" s="62"/>
      <c r="F91" s="62"/>
      <c r="G91" s="13"/>
      <c r="H91"/>
      <c r="I91"/>
      <c r="K91" s="67"/>
      <c r="L91"/>
      <c r="N91"/>
    </row>
    <row r="92" spans="1:17" x14ac:dyDescent="0.25">
      <c r="A92" s="587"/>
      <c r="B92" s="587" t="s">
        <v>389</v>
      </c>
      <c r="C92" s="64" t="s">
        <v>113</v>
      </c>
      <c r="D92" s="593" t="s">
        <v>202</v>
      </c>
      <c r="E92" s="588"/>
      <c r="F92" s="588"/>
      <c r="G92" s="589"/>
      <c r="H92" s="587"/>
      <c r="I92" s="587" t="s">
        <v>389</v>
      </c>
      <c r="J92" s="64" t="s">
        <v>113</v>
      </c>
      <c r="K92" s="593" t="s">
        <v>202</v>
      </c>
      <c r="L92" s="587"/>
      <c r="M92" s="587"/>
      <c r="N92" s="587"/>
      <c r="O92" s="587"/>
      <c r="P92" s="587"/>
      <c r="Q92" s="587"/>
    </row>
    <row r="93" spans="1:17" x14ac:dyDescent="0.25">
      <c r="A93" s="599">
        <v>0</v>
      </c>
      <c r="B93" s="66">
        <f>K60</f>
        <v>542</v>
      </c>
      <c r="C93" s="65">
        <f>J60</f>
        <v>261.24</v>
      </c>
      <c r="D93" s="603">
        <f>+B93-C93</f>
        <v>280.76</v>
      </c>
      <c r="E93" s="588"/>
      <c r="F93" s="588"/>
      <c r="G93" s="589"/>
      <c r="H93" s="599">
        <v>0</v>
      </c>
      <c r="I93" s="602">
        <f>K36</f>
        <v>523</v>
      </c>
      <c r="J93" s="600">
        <f>J36</f>
        <v>259.81899999999996</v>
      </c>
      <c r="K93" s="601">
        <f>+I93-J93</f>
        <v>263.18100000000004</v>
      </c>
      <c r="L93" s="587"/>
      <c r="M93" s="587"/>
      <c r="N93" s="587"/>
      <c r="O93" s="587"/>
      <c r="P93" s="587"/>
      <c r="Q93" s="587"/>
    </row>
    <row r="94" spans="1:17" x14ac:dyDescent="0.25">
      <c r="A94" s="596">
        <v>0.1</v>
      </c>
      <c r="B94" s="66">
        <f>0.9*B93</f>
        <v>487.8</v>
      </c>
      <c r="C94" s="65">
        <f>C93</f>
        <v>261.24</v>
      </c>
      <c r="D94" s="603">
        <f t="shared" ref="D94:D97" si="4">+B94-C94</f>
        <v>226.56</v>
      </c>
      <c r="E94" s="225"/>
      <c r="F94" s="225"/>
      <c r="G94" s="591"/>
      <c r="H94" s="596">
        <v>0.1</v>
      </c>
      <c r="I94" s="587">
        <f>0.9*I93</f>
        <v>470.7</v>
      </c>
      <c r="J94" s="600">
        <f>J93</f>
        <v>259.81899999999996</v>
      </c>
      <c r="K94" s="601">
        <f t="shared" ref="K94:K97" si="5">+I94-J94</f>
        <v>210.88100000000003</v>
      </c>
      <c r="L94" s="64"/>
      <c r="M94" s="64"/>
      <c r="N94" s="64"/>
      <c r="O94" s="64"/>
      <c r="P94" s="64"/>
      <c r="Q94" s="64"/>
    </row>
    <row r="95" spans="1:17" x14ac:dyDescent="0.25">
      <c r="A95" s="597">
        <v>0.15</v>
      </c>
      <c r="B95" s="66">
        <f>+B93*0.85</f>
        <v>460.7</v>
      </c>
      <c r="C95" s="65">
        <f t="shared" ref="C95:C97" si="6">C94</f>
        <v>261.24</v>
      </c>
      <c r="D95" s="603">
        <f t="shared" si="4"/>
        <v>199.45999999999998</v>
      </c>
      <c r="E95" s="498"/>
      <c r="F95" s="498"/>
      <c r="G95" s="594"/>
      <c r="H95" s="597">
        <v>0.15</v>
      </c>
      <c r="I95" s="587">
        <f>+I93*0.85</f>
        <v>444.55</v>
      </c>
      <c r="J95" s="600">
        <f t="shared" ref="J95:J97" si="7">J94</f>
        <v>259.81899999999996</v>
      </c>
      <c r="K95" s="601">
        <f t="shared" si="5"/>
        <v>184.73100000000005</v>
      </c>
      <c r="L95" s="507"/>
      <c r="M95" s="507"/>
      <c r="N95" s="507"/>
      <c r="O95" s="507"/>
      <c r="P95" s="507"/>
      <c r="Q95" s="507"/>
    </row>
    <row r="96" spans="1:17" x14ac:dyDescent="0.25">
      <c r="A96" s="598">
        <v>0.2</v>
      </c>
      <c r="B96" s="66">
        <f>0.8*B93</f>
        <v>433.6</v>
      </c>
      <c r="C96" s="65">
        <f t="shared" si="6"/>
        <v>261.24</v>
      </c>
      <c r="D96" s="604">
        <f t="shared" si="4"/>
        <v>172.36</v>
      </c>
      <c r="E96" s="62"/>
      <c r="F96" s="62"/>
      <c r="G96" s="13"/>
      <c r="H96" s="598">
        <v>0.2</v>
      </c>
      <c r="I96" s="587">
        <f>0.8*I93</f>
        <v>418.40000000000003</v>
      </c>
      <c r="J96" s="600">
        <f t="shared" si="7"/>
        <v>259.81899999999996</v>
      </c>
      <c r="K96" s="601">
        <f t="shared" si="5"/>
        <v>158.58100000000007</v>
      </c>
      <c r="L96"/>
      <c r="N96"/>
    </row>
    <row r="97" spans="1:14" x14ac:dyDescent="0.25">
      <c r="A97" s="598">
        <v>0.25</v>
      </c>
      <c r="B97" s="66">
        <f>0.75*B93</f>
        <v>406.5</v>
      </c>
      <c r="C97" s="65">
        <f t="shared" si="6"/>
        <v>261.24</v>
      </c>
      <c r="D97" s="604">
        <f t="shared" si="4"/>
        <v>145.26</v>
      </c>
      <c r="E97" s="62"/>
      <c r="F97" s="62"/>
      <c r="G97" s="13"/>
      <c r="H97" s="598">
        <v>0.25</v>
      </c>
      <c r="I97" s="587">
        <f>0.755*I93</f>
        <v>394.86500000000001</v>
      </c>
      <c r="J97" s="600">
        <f t="shared" si="7"/>
        <v>259.81899999999996</v>
      </c>
      <c r="K97" s="601">
        <f t="shared" si="5"/>
        <v>135.04600000000005</v>
      </c>
      <c r="L97"/>
      <c r="N97"/>
    </row>
  </sheetData>
  <dataValidations count="1">
    <dataValidation type="list" allowBlank="1" showInputMessage="1" showErrorMessage="1" sqref="B32:B35 B17:B20 B56:B59 B44:B47" xr:uid="{BBA67B40-10A6-4995-9CE1-529E4644EF7B}">
      <formula1>$N$1:$N$3</formula1>
    </dataValidation>
  </dataValidations>
  <pageMargins left="0.7" right="0.7" top="0.75" bottom="0.75" header="0.3" footer="0.3"/>
  <pageSetup scale="58" fitToHeight="1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3D2B4-3955-4AAD-B92F-2DAB1B247811}">
  <sheetPr codeName="Sheet18">
    <pageSetUpPr fitToPage="1"/>
  </sheetPr>
  <dimension ref="A1:S82"/>
  <sheetViews>
    <sheetView workbookViewId="0">
      <pane ySplit="1" topLeftCell="A37" activePane="bottomLeft" state="frozen"/>
      <selection activeCell="K3" sqref="K3"/>
      <selection pane="bottomLeft" activeCell="A48" sqref="A48"/>
    </sheetView>
  </sheetViews>
  <sheetFormatPr defaultColWidth="10.625" defaultRowHeight="15.75" x14ac:dyDescent="0.25"/>
  <cols>
    <col min="5" max="5" width="10.625" style="67"/>
    <col min="7" max="7" width="10.625" style="95"/>
    <col min="8" max="8" width="5.625" style="13" customWidth="1"/>
    <col min="9" max="9" width="10.625" style="96"/>
    <col min="12" max="12" width="10.625" style="62"/>
    <col min="14" max="14" width="10.625" style="62"/>
  </cols>
  <sheetData>
    <row r="1" spans="1:19" ht="30.75" customHeight="1" x14ac:dyDescent="0.55000000000000004">
      <c r="A1" s="564" t="s">
        <v>276</v>
      </c>
      <c r="B1" s="236"/>
      <c r="C1" s="236"/>
      <c r="D1" s="236"/>
      <c r="I1" s="92"/>
      <c r="J1" s="197"/>
      <c r="K1" s="197"/>
      <c r="L1" s="92"/>
      <c r="M1" s="92"/>
      <c r="O1" s="154" t="s">
        <v>203</v>
      </c>
    </row>
    <row r="2" spans="1:19" s="98" customFormat="1" x14ac:dyDescent="0.25">
      <c r="A2" s="87"/>
      <c r="B2" s="200">
        <f>'Pep Costs'!B37</f>
        <v>75</v>
      </c>
      <c r="C2" s="87" t="s">
        <v>142</v>
      </c>
      <c r="D2" s="87"/>
      <c r="E2" s="117"/>
      <c r="F2" s="117"/>
      <c r="G2" s="117"/>
      <c r="H2" s="117"/>
      <c r="I2" s="117"/>
      <c r="J2" s="429"/>
      <c r="K2" s="430"/>
      <c r="L2" s="471"/>
      <c r="M2" s="117"/>
      <c r="N2" s="119"/>
      <c r="O2" s="155" t="s">
        <v>187</v>
      </c>
      <c r="P2" s="117"/>
      <c r="Q2" s="117"/>
      <c r="R2" s="117"/>
      <c r="S2" s="117"/>
    </row>
    <row r="3" spans="1:19" s="98" customFormat="1" x14ac:dyDescent="0.25">
      <c r="A3" s="87"/>
      <c r="B3" s="170">
        <v>3.3</v>
      </c>
      <c r="C3" s="170" t="s">
        <v>185</v>
      </c>
      <c r="D3" s="87"/>
      <c r="E3" s="117" t="s">
        <v>191</v>
      </c>
      <c r="F3" s="117"/>
      <c r="G3" s="117"/>
      <c r="H3" s="117"/>
      <c r="I3" s="117"/>
      <c r="J3" s="117"/>
      <c r="K3" s="117"/>
      <c r="L3" s="152"/>
      <c r="M3" s="117"/>
      <c r="N3" s="119"/>
      <c r="O3" s="155" t="s">
        <v>206</v>
      </c>
      <c r="P3" s="117"/>
      <c r="Q3" s="117"/>
      <c r="R3" s="117"/>
      <c r="S3" s="117"/>
    </row>
    <row r="4" spans="1:19" s="98" customFormat="1" ht="32.25" customHeight="1" x14ac:dyDescent="0.4">
      <c r="A4" s="87"/>
      <c r="B4" s="142">
        <v>15</v>
      </c>
      <c r="C4" s="656" t="s">
        <v>230</v>
      </c>
      <c r="D4" s="665"/>
      <c r="E4" s="270"/>
      <c r="F4" s="511" t="s">
        <v>349</v>
      </c>
      <c r="G4" s="512" t="s">
        <v>144</v>
      </c>
      <c r="H4" s="117"/>
      <c r="I4" s="117"/>
      <c r="J4" s="158"/>
      <c r="K4" s="117"/>
      <c r="L4" s="152"/>
      <c r="M4" s="117"/>
      <c r="N4" s="119"/>
      <c r="O4" s="157"/>
      <c r="P4" s="117"/>
      <c r="Q4" s="117"/>
      <c r="R4" s="117"/>
      <c r="S4" s="117"/>
    </row>
    <row r="5" spans="1:19" s="98" customFormat="1" x14ac:dyDescent="0.25">
      <c r="A5" s="314"/>
      <c r="B5" s="87">
        <f>SUM(B2:B4)</f>
        <v>93.3</v>
      </c>
      <c r="C5" s="87"/>
      <c r="D5" s="87"/>
      <c r="E5" s="270"/>
      <c r="F5" s="117">
        <v>100</v>
      </c>
      <c r="G5" s="130">
        <f>+F5+B5</f>
        <v>193.3</v>
      </c>
      <c r="H5" s="117"/>
      <c r="I5" s="117"/>
      <c r="J5" s="158"/>
      <c r="K5" s="117"/>
      <c r="L5" s="152"/>
      <c r="M5" s="117"/>
      <c r="N5" s="119"/>
      <c r="P5" s="117"/>
      <c r="Q5" s="117"/>
      <c r="R5" s="117"/>
      <c r="S5" s="117"/>
    </row>
    <row r="6" spans="1:19" s="98" customFormat="1" x14ac:dyDescent="0.25">
      <c r="A6" s="87"/>
      <c r="B6" s="87"/>
      <c r="C6" s="87"/>
      <c r="D6" s="87"/>
      <c r="E6" s="117"/>
      <c r="F6" s="117"/>
      <c r="G6" s="120"/>
      <c r="H6" s="471"/>
      <c r="I6" s="117"/>
      <c r="J6" s="158"/>
      <c r="K6" s="117"/>
      <c r="L6" s="152"/>
      <c r="M6" s="153"/>
      <c r="N6" s="289"/>
      <c r="O6" s="117"/>
      <c r="P6" s="117"/>
      <c r="Q6" s="117"/>
      <c r="R6" s="117"/>
      <c r="S6" s="117"/>
    </row>
    <row r="7" spans="1:19" s="98" customFormat="1" x14ac:dyDescent="0.25">
      <c r="A7" s="225" t="s">
        <v>189</v>
      </c>
      <c r="B7" s="87">
        <f>+B5/300</f>
        <v>0.311</v>
      </c>
      <c r="C7" s="87"/>
      <c r="D7" s="87"/>
      <c r="E7" s="62"/>
      <c r="F7" s="62" t="s">
        <v>189</v>
      </c>
      <c r="G7" s="392">
        <f>+G5/300</f>
        <v>0.64433333333333342</v>
      </c>
      <c r="H7" s="117"/>
      <c r="I7" s="158"/>
      <c r="K7" s="152"/>
      <c r="L7" s="153"/>
      <c r="M7" s="117"/>
      <c r="N7" s="289"/>
      <c r="O7" s="117"/>
      <c r="P7" s="117"/>
      <c r="Q7" s="117"/>
      <c r="R7" s="117"/>
    </row>
    <row r="8" spans="1:19" s="117" customFormat="1" x14ac:dyDescent="0.25">
      <c r="A8" s="62"/>
      <c r="B8" s="128"/>
      <c r="E8" s="62"/>
      <c r="F8" s="390"/>
      <c r="G8" s="471"/>
      <c r="I8" s="158"/>
      <c r="K8" s="152"/>
      <c r="L8" s="153"/>
      <c r="N8" s="289"/>
    </row>
    <row r="9" spans="1:19" s="161" customFormat="1" x14ac:dyDescent="0.25">
      <c r="A9" s="159"/>
      <c r="B9" s="160"/>
      <c r="E9" s="162"/>
      <c r="F9" s="163"/>
      <c r="I9" s="164"/>
      <c r="K9" s="165"/>
      <c r="L9" s="166"/>
      <c r="N9" s="401"/>
    </row>
    <row r="10" spans="1:19" s="161" customFormat="1" x14ac:dyDescent="0.25">
      <c r="A10" s="159"/>
      <c r="B10" s="160"/>
      <c r="E10" s="162"/>
      <c r="F10" s="163"/>
      <c r="I10" s="164"/>
      <c r="K10" s="165"/>
      <c r="L10" s="166"/>
      <c r="N10" s="401"/>
    </row>
    <row r="11" spans="1:19" s="98" customFormat="1" x14ac:dyDescent="0.25">
      <c r="A11" s="15"/>
      <c r="B11" s="87"/>
      <c r="C11" s="80"/>
      <c r="D11" s="115"/>
      <c r="E11" s="116"/>
      <c r="G11" s="117"/>
      <c r="H11" s="80"/>
      <c r="J11" s="152"/>
      <c r="K11" s="153"/>
      <c r="L11" s="117"/>
      <c r="M11" s="289"/>
      <c r="N11" s="117"/>
      <c r="O11" s="117"/>
      <c r="P11" s="117"/>
      <c r="Q11" s="117"/>
    </row>
    <row r="12" spans="1:19" s="98" customFormat="1" x14ac:dyDescent="0.25">
      <c r="A12" s="15"/>
      <c r="B12" s="87"/>
      <c r="C12" s="80"/>
      <c r="D12" s="115"/>
      <c r="E12" s="116"/>
      <c r="G12" s="117"/>
      <c r="H12" s="80"/>
      <c r="K12" s="114" t="s">
        <v>144</v>
      </c>
      <c r="L12" s="117"/>
      <c r="M12" s="289"/>
      <c r="N12" s="117"/>
      <c r="O12" s="117"/>
      <c r="P12" s="117"/>
      <c r="Q12" s="117"/>
    </row>
    <row r="13" spans="1:19" s="98" customFormat="1" x14ac:dyDescent="0.25">
      <c r="A13" s="15"/>
      <c r="B13" s="121"/>
      <c r="C13" s="80"/>
      <c r="D13" s="115"/>
      <c r="E13" s="116"/>
      <c r="G13" s="117"/>
      <c r="H13" s="118">
        <f>ROUNDUP(F19,0)</f>
        <v>390</v>
      </c>
      <c r="I13" s="119" t="s">
        <v>201</v>
      </c>
      <c r="J13" s="87">
        <f>+B7*F19</f>
        <v>121.29</v>
      </c>
      <c r="K13" s="120">
        <f>+F19*G7</f>
        <v>251.29000000000005</v>
      </c>
      <c r="L13" s="117"/>
      <c r="M13" s="289"/>
      <c r="N13" s="117"/>
      <c r="O13" s="117"/>
      <c r="P13" s="117"/>
      <c r="Q13" s="117"/>
    </row>
    <row r="14" spans="1:19" s="125" customFormat="1" ht="31.5" x14ac:dyDescent="0.25">
      <c r="A14" s="653" t="s">
        <v>266</v>
      </c>
      <c r="B14" s="148" t="s">
        <v>199</v>
      </c>
      <c r="C14" s="149" t="s">
        <v>196</v>
      </c>
      <c r="D14" s="148" t="s">
        <v>197</v>
      </c>
      <c r="E14" s="122" t="s">
        <v>198</v>
      </c>
      <c r="F14" s="150" t="s">
        <v>188</v>
      </c>
      <c r="G14" s="124"/>
      <c r="H14" s="302">
        <v>0</v>
      </c>
      <c r="I14" s="62" t="s">
        <v>177</v>
      </c>
      <c r="J14" s="87">
        <f>+H14*45</f>
        <v>0</v>
      </c>
      <c r="K14" s="93">
        <f>+H14*85</f>
        <v>0</v>
      </c>
      <c r="L14" s="124"/>
      <c r="M14" s="432"/>
      <c r="N14" s="124"/>
      <c r="O14" s="124"/>
      <c r="P14" s="124"/>
      <c r="Q14" s="124"/>
    </row>
    <row r="15" spans="1:19" s="81" customFormat="1" x14ac:dyDescent="0.25">
      <c r="A15" s="78" t="s">
        <v>108</v>
      </c>
      <c r="B15" s="199" t="s">
        <v>187</v>
      </c>
      <c r="C15" s="192">
        <v>50</v>
      </c>
      <c r="D15" s="199">
        <v>15</v>
      </c>
      <c r="E15" s="145">
        <f>IF(B15="Daily",7, IF(B15="Weekly",1, IF(B15="Every Other Day",4,"")))</f>
        <v>4</v>
      </c>
      <c r="F15" s="146">
        <f>+D15*E15</f>
        <v>60</v>
      </c>
      <c r="G15" s="83"/>
      <c r="H15" s="80">
        <f>IF(E19&gt;=25, E19+2, E19+1)</f>
        <v>17</v>
      </c>
      <c r="I15" s="62" t="s">
        <v>217</v>
      </c>
      <c r="J15" s="87">
        <f>0.25*H15</f>
        <v>4.25</v>
      </c>
      <c r="K15" s="93"/>
      <c r="L15" s="83"/>
      <c r="M15" s="492"/>
      <c r="N15" s="83"/>
      <c r="O15" s="83"/>
      <c r="P15" s="83"/>
      <c r="Q15" s="83"/>
    </row>
    <row r="16" spans="1:19" s="81" customFormat="1" x14ac:dyDescent="0.25">
      <c r="A16" s="78" t="s">
        <v>109</v>
      </c>
      <c r="B16" s="199" t="s">
        <v>187</v>
      </c>
      <c r="C16" s="192">
        <v>75</v>
      </c>
      <c r="D16" s="199">
        <v>22.5</v>
      </c>
      <c r="E16" s="147">
        <f>IF(B16="Daily",7, IF(B16="Weekly",1, IF(B16="Every Other Day",4,"")))</f>
        <v>4</v>
      </c>
      <c r="F16" s="146">
        <f t="shared" ref="F16:F18" si="0">+D16*E16</f>
        <v>90</v>
      </c>
      <c r="G16" s="83"/>
      <c r="H16" s="80">
        <f>ROUNDUP(F20,0)</f>
        <v>2</v>
      </c>
      <c r="I16" s="62" t="s">
        <v>190</v>
      </c>
      <c r="J16" s="87">
        <f>+H16*0.8</f>
        <v>1.6</v>
      </c>
      <c r="K16" s="93"/>
      <c r="L16" s="83"/>
      <c r="M16" s="492"/>
      <c r="N16" s="83"/>
      <c r="O16" s="83"/>
      <c r="P16" s="83"/>
      <c r="Q16" s="83"/>
    </row>
    <row r="17" spans="1:17" s="81" customFormat="1" x14ac:dyDescent="0.25">
      <c r="A17" s="78" t="s">
        <v>110</v>
      </c>
      <c r="B17" s="199" t="s">
        <v>187</v>
      </c>
      <c r="C17" s="192">
        <v>100</v>
      </c>
      <c r="D17" s="199">
        <v>30</v>
      </c>
      <c r="E17" s="147">
        <f>IF(B17="Daily",7, IF(B17="Weekly",1, IF(B17="Every Other Day",4,"")))</f>
        <v>4</v>
      </c>
      <c r="F17" s="146">
        <f t="shared" si="0"/>
        <v>120</v>
      </c>
      <c r="G17" s="83"/>
      <c r="H17" s="80">
        <f>H15</f>
        <v>17</v>
      </c>
      <c r="I17" s="62" t="s">
        <v>200</v>
      </c>
      <c r="J17" s="87">
        <f>(5/100)*H17</f>
        <v>0.85000000000000009</v>
      </c>
      <c r="K17" s="93"/>
      <c r="L17" s="83"/>
      <c r="M17" s="522"/>
      <c r="N17" s="503"/>
      <c r="O17" s="503"/>
      <c r="P17" s="83"/>
      <c r="Q17" s="83"/>
    </row>
    <row r="18" spans="1:17" s="81" customFormat="1" x14ac:dyDescent="0.25">
      <c r="A18" s="100" t="s">
        <v>141</v>
      </c>
      <c r="B18" s="101" t="s">
        <v>187</v>
      </c>
      <c r="C18" s="102">
        <v>100</v>
      </c>
      <c r="D18" s="101">
        <v>30</v>
      </c>
      <c r="E18" s="144">
        <f>IF(B18="Daily",7, IF(B18="Weekly",1, IF(B18="Every Other Day",4,"")))</f>
        <v>4</v>
      </c>
      <c r="F18" s="103">
        <f t="shared" si="0"/>
        <v>120</v>
      </c>
      <c r="G18" s="83"/>
      <c r="H18" s="303">
        <v>1</v>
      </c>
      <c r="I18" s="71" t="s">
        <v>192</v>
      </c>
      <c r="J18" s="142">
        <f>H18*3.65</f>
        <v>3.65</v>
      </c>
      <c r="K18" s="143"/>
      <c r="L18" s="83"/>
      <c r="M18" s="522"/>
      <c r="N18" s="503"/>
      <c r="O18" s="503"/>
      <c r="P18" s="83"/>
      <c r="Q18" s="83"/>
    </row>
    <row r="19" spans="1:17" s="81" customFormat="1" x14ac:dyDescent="0.25">
      <c r="A19" s="88"/>
      <c r="B19" s="79"/>
      <c r="C19" s="80"/>
      <c r="D19" s="82"/>
      <c r="E19" s="126">
        <f>SUM(E15:E18)</f>
        <v>16</v>
      </c>
      <c r="F19" s="127">
        <f>SUM(F15:F18)</f>
        <v>390</v>
      </c>
      <c r="G19" s="83"/>
      <c r="H19" s="80"/>
      <c r="J19" s="128">
        <f>SUM(J13:J18)</f>
        <v>131.63999999999999</v>
      </c>
      <c r="K19" s="129">
        <f>ROUNDUP(SUM(K13:K18),0)</f>
        <v>252</v>
      </c>
      <c r="L19" s="83"/>
      <c r="M19" s="433" t="s">
        <v>202</v>
      </c>
      <c r="N19" s="428">
        <f>+K19-J19</f>
        <v>120.36000000000001</v>
      </c>
      <c r="O19" s="503"/>
      <c r="P19" s="83"/>
      <c r="Q19" s="83"/>
    </row>
    <row r="20" spans="1:17" s="81" customFormat="1" x14ac:dyDescent="0.25">
      <c r="A20" s="88"/>
      <c r="B20" s="79"/>
      <c r="C20" s="80"/>
      <c r="D20" s="82"/>
      <c r="E20" s="441" t="s">
        <v>204</v>
      </c>
      <c r="F20" s="484">
        <f>+F19/300</f>
        <v>1.3</v>
      </c>
      <c r="G20" s="83"/>
      <c r="H20" s="80"/>
      <c r="I20" s="131" t="s">
        <v>189</v>
      </c>
      <c r="J20" s="113">
        <f>+J19/H13</f>
        <v>0.33753846153846151</v>
      </c>
      <c r="K20" s="112">
        <f>+K19/H13</f>
        <v>0.64615384615384619</v>
      </c>
      <c r="L20" s="83"/>
      <c r="M20" s="522"/>
      <c r="N20" s="503"/>
      <c r="O20" s="503"/>
      <c r="P20" s="83"/>
      <c r="Q20" s="83"/>
    </row>
    <row r="21" spans="1:17" s="81" customFormat="1" x14ac:dyDescent="0.25">
      <c r="A21" s="88"/>
      <c r="B21" s="79"/>
      <c r="C21" s="80"/>
      <c r="D21" s="82"/>
      <c r="E21" s="109"/>
      <c r="G21" s="83"/>
      <c r="H21" s="80"/>
      <c r="L21" s="83"/>
      <c r="M21" s="522"/>
      <c r="N21" s="503"/>
      <c r="O21" s="503"/>
      <c r="P21" s="83"/>
      <c r="Q21" s="83"/>
    </row>
    <row r="22" spans="1:17" s="107" customFormat="1" x14ac:dyDescent="0.25">
      <c r="A22" s="104"/>
      <c r="B22" s="105"/>
      <c r="C22" s="106"/>
      <c r="D22" s="108"/>
      <c r="E22" s="151"/>
      <c r="H22" s="106"/>
      <c r="M22" s="529"/>
      <c r="N22" s="504"/>
      <c r="O22" s="504"/>
    </row>
    <row r="23" spans="1:17" s="98" customFormat="1" x14ac:dyDescent="0.25">
      <c r="A23" s="15"/>
      <c r="B23" s="87"/>
      <c r="C23" s="80"/>
      <c r="D23" s="115"/>
      <c r="E23" s="116"/>
      <c r="G23" s="117"/>
      <c r="H23" s="80"/>
      <c r="J23" s="152"/>
      <c r="K23" s="153"/>
      <c r="L23" s="117"/>
      <c r="M23" s="428"/>
      <c r="N23" s="500"/>
      <c r="O23" s="500"/>
      <c r="P23" s="117"/>
      <c r="Q23" s="117"/>
    </row>
    <row r="24" spans="1:17" s="98" customFormat="1" x14ac:dyDescent="0.25">
      <c r="A24" s="15"/>
      <c r="B24" s="87"/>
      <c r="C24" s="80"/>
      <c r="D24" s="115"/>
      <c r="E24" s="116"/>
      <c r="G24" s="117"/>
      <c r="H24" s="80"/>
      <c r="K24" s="114" t="s">
        <v>144</v>
      </c>
      <c r="L24" s="117"/>
      <c r="M24" s="428"/>
      <c r="N24" s="500"/>
      <c r="O24" s="500"/>
      <c r="P24" s="117"/>
      <c r="Q24" s="117"/>
    </row>
    <row r="25" spans="1:17" s="98" customFormat="1" x14ac:dyDescent="0.25">
      <c r="A25" s="15"/>
      <c r="B25" s="121"/>
      <c r="C25" s="80"/>
      <c r="D25" s="115"/>
      <c r="E25" s="116"/>
      <c r="G25" s="117"/>
      <c r="H25" s="118">
        <f>ROUNDUP(F31,0)</f>
        <v>480</v>
      </c>
      <c r="I25" s="119" t="s">
        <v>201</v>
      </c>
      <c r="J25" s="87">
        <f>+B7*F31</f>
        <v>149.28</v>
      </c>
      <c r="K25" s="120">
        <f>+F31*G7</f>
        <v>309.28000000000003</v>
      </c>
      <c r="L25" s="117"/>
      <c r="M25" s="428"/>
      <c r="N25" s="500"/>
      <c r="O25" s="500"/>
      <c r="P25" s="117"/>
      <c r="Q25" s="117"/>
    </row>
    <row r="26" spans="1:17" s="125" customFormat="1" ht="31.5" x14ac:dyDescent="0.25">
      <c r="A26" s="653" t="s">
        <v>268</v>
      </c>
      <c r="B26" s="148" t="s">
        <v>199</v>
      </c>
      <c r="C26" s="149" t="s">
        <v>196</v>
      </c>
      <c r="D26" s="148" t="s">
        <v>197</v>
      </c>
      <c r="E26" s="122" t="s">
        <v>198</v>
      </c>
      <c r="F26" s="150" t="s">
        <v>188</v>
      </c>
      <c r="G26" s="124"/>
      <c r="H26" s="302">
        <v>0</v>
      </c>
      <c r="I26" s="62" t="s">
        <v>177</v>
      </c>
      <c r="J26" s="87">
        <f>+H26*45</f>
        <v>0</v>
      </c>
      <c r="K26" s="93">
        <f>+H26*85</f>
        <v>0</v>
      </c>
      <c r="L26" s="124"/>
      <c r="M26" s="526"/>
      <c r="N26" s="502"/>
      <c r="O26" s="502"/>
      <c r="P26" s="124"/>
      <c r="Q26" s="124"/>
    </row>
    <row r="27" spans="1:17" s="81" customFormat="1" x14ac:dyDescent="0.25">
      <c r="A27" s="78" t="s">
        <v>207</v>
      </c>
      <c r="B27" s="199" t="s">
        <v>187</v>
      </c>
      <c r="C27" s="192">
        <v>100</v>
      </c>
      <c r="D27" s="199">
        <v>30</v>
      </c>
      <c r="E27" s="145">
        <f>IF(B27="Daily",7, IF(B27="Weekly",1, IF(B27="Every Other Day",4,"")))</f>
        <v>4</v>
      </c>
      <c r="F27" s="146">
        <f>+D27*E27</f>
        <v>120</v>
      </c>
      <c r="G27" s="83"/>
      <c r="H27" s="80">
        <f>IF(E31&gt;=25, E31+2, E31+1)</f>
        <v>17</v>
      </c>
      <c r="I27" s="62" t="s">
        <v>217</v>
      </c>
      <c r="J27" s="87">
        <f>0.25*H27</f>
        <v>4.25</v>
      </c>
      <c r="K27" s="93"/>
      <c r="L27" s="83"/>
      <c r="M27" s="522"/>
      <c r="N27" s="503"/>
      <c r="O27" s="503"/>
      <c r="P27" s="83"/>
      <c r="Q27" s="83"/>
    </row>
    <row r="28" spans="1:17" s="81" customFormat="1" x14ac:dyDescent="0.25">
      <c r="A28" s="78" t="s">
        <v>208</v>
      </c>
      <c r="B28" s="199" t="s">
        <v>187</v>
      </c>
      <c r="C28" s="192">
        <v>100</v>
      </c>
      <c r="D28" s="199">
        <v>30</v>
      </c>
      <c r="E28" s="147">
        <f>IF(B28="Daily",7, IF(B28="Weekly",1, IF(B28="Every Other Day",4,"")))</f>
        <v>4</v>
      </c>
      <c r="F28" s="146">
        <f t="shared" ref="F28:F30" si="1">+D28*E28</f>
        <v>120</v>
      </c>
      <c r="G28" s="83"/>
      <c r="H28" s="80">
        <f>ROUNDUP(F32,0)</f>
        <v>2</v>
      </c>
      <c r="I28" s="62" t="s">
        <v>190</v>
      </c>
      <c r="J28" s="87">
        <f>+H28*0.8</f>
        <v>1.6</v>
      </c>
      <c r="K28" s="93"/>
      <c r="L28" s="83"/>
      <c r="M28" s="522"/>
      <c r="N28" s="503"/>
      <c r="O28" s="503"/>
      <c r="P28" s="83"/>
      <c r="Q28" s="83"/>
    </row>
    <row r="29" spans="1:17" s="81" customFormat="1" x14ac:dyDescent="0.25">
      <c r="A29" s="78" t="s">
        <v>209</v>
      </c>
      <c r="B29" s="199" t="s">
        <v>187</v>
      </c>
      <c r="C29" s="192">
        <v>100</v>
      </c>
      <c r="D29" s="199">
        <v>30</v>
      </c>
      <c r="E29" s="147">
        <f>IF(B29="Daily",7, IF(B29="Weekly",1, IF(B29="Every Other Day",4,"")))</f>
        <v>4</v>
      </c>
      <c r="F29" s="146">
        <f t="shared" si="1"/>
        <v>120</v>
      </c>
      <c r="G29" s="83"/>
      <c r="H29" s="80">
        <f>H27</f>
        <v>17</v>
      </c>
      <c r="I29" s="62" t="s">
        <v>200</v>
      </c>
      <c r="J29" s="87">
        <f>(5/100)*H29</f>
        <v>0.85000000000000009</v>
      </c>
      <c r="K29" s="93"/>
      <c r="L29" s="83"/>
      <c r="M29" s="522"/>
      <c r="N29" s="503"/>
      <c r="O29" s="503"/>
      <c r="P29" s="83"/>
      <c r="Q29" s="83"/>
    </row>
    <row r="30" spans="1:17" s="81" customFormat="1" x14ac:dyDescent="0.25">
      <c r="A30" s="100" t="s">
        <v>210</v>
      </c>
      <c r="B30" s="101" t="s">
        <v>187</v>
      </c>
      <c r="C30" s="102">
        <v>100</v>
      </c>
      <c r="D30" s="101">
        <v>30</v>
      </c>
      <c r="E30" s="144">
        <f>IF(B30="Daily",7, IF(B30="Weekly",1, IF(B30="Every Other Day",4,"")))</f>
        <v>4</v>
      </c>
      <c r="F30" s="103">
        <f t="shared" si="1"/>
        <v>120</v>
      </c>
      <c r="G30" s="83"/>
      <c r="H30" s="303">
        <v>0</v>
      </c>
      <c r="I30" s="71" t="s">
        <v>192</v>
      </c>
      <c r="J30" s="142">
        <f>H30*3.65</f>
        <v>0</v>
      </c>
      <c r="K30" s="143"/>
      <c r="L30" s="83"/>
      <c r="M30" s="522"/>
      <c r="N30" s="503"/>
      <c r="O30" s="503"/>
      <c r="P30" s="83"/>
      <c r="Q30" s="83"/>
    </row>
    <row r="31" spans="1:17" s="81" customFormat="1" x14ac:dyDescent="0.25">
      <c r="A31" s="88"/>
      <c r="B31" s="79"/>
      <c r="C31" s="80"/>
      <c r="D31" s="82"/>
      <c r="E31" s="126">
        <f>SUM(E27:E30)</f>
        <v>16</v>
      </c>
      <c r="F31" s="127">
        <f>SUM(F27:F30)</f>
        <v>480</v>
      </c>
      <c r="G31" s="83"/>
      <c r="H31" s="80"/>
      <c r="J31" s="128">
        <f>SUM(J25:J30)</f>
        <v>155.97999999999999</v>
      </c>
      <c r="K31" s="129">
        <f>ROUNDUP(SUM(K25:K30),0)</f>
        <v>310</v>
      </c>
      <c r="L31" s="83"/>
      <c r="M31" s="433" t="s">
        <v>202</v>
      </c>
      <c r="N31" s="428">
        <f>+K31-J31</f>
        <v>154.02000000000001</v>
      </c>
      <c r="O31" s="503"/>
      <c r="P31" s="83"/>
      <c r="Q31" s="83"/>
    </row>
    <row r="32" spans="1:17" s="81" customFormat="1" x14ac:dyDescent="0.25">
      <c r="A32" s="88"/>
      <c r="B32" s="79"/>
      <c r="C32" s="80"/>
      <c r="D32" s="82"/>
      <c r="E32" s="441" t="s">
        <v>204</v>
      </c>
      <c r="F32" s="484">
        <f>+F31/300</f>
        <v>1.6</v>
      </c>
      <c r="G32" s="83"/>
      <c r="H32" s="80"/>
      <c r="I32" s="131" t="s">
        <v>189</v>
      </c>
      <c r="J32" s="113">
        <f>+J31/H25</f>
        <v>0.32495833333333329</v>
      </c>
      <c r="K32" s="112">
        <f>+K31/H25</f>
        <v>0.64583333333333337</v>
      </c>
      <c r="L32" s="83"/>
      <c r="M32" s="522"/>
      <c r="N32" s="503"/>
      <c r="O32" s="503"/>
      <c r="P32" s="83"/>
      <c r="Q32" s="83"/>
    </row>
    <row r="33" spans="1:18" s="81" customFormat="1" x14ac:dyDescent="0.25">
      <c r="A33" s="88"/>
      <c r="B33" s="79"/>
      <c r="C33" s="80"/>
      <c r="D33" s="82"/>
      <c r="E33" s="109"/>
      <c r="G33" s="83"/>
      <c r="H33" s="80"/>
      <c r="I33" s="110"/>
      <c r="J33" s="111"/>
      <c r="L33" s="83"/>
      <c r="M33" s="522"/>
      <c r="N33" s="503"/>
      <c r="O33" s="503"/>
      <c r="P33" s="83"/>
      <c r="Q33" s="83"/>
    </row>
    <row r="34" spans="1:18" s="107" customFormat="1" x14ac:dyDescent="0.25">
      <c r="A34" s="104"/>
      <c r="B34" s="105"/>
      <c r="C34" s="106"/>
      <c r="D34" s="108"/>
      <c r="E34" s="151"/>
      <c r="H34" s="106"/>
      <c r="M34" s="529"/>
      <c r="N34" s="504"/>
      <c r="O34" s="504"/>
    </row>
    <row r="35" spans="1:18" s="98" customFormat="1" x14ac:dyDescent="0.25">
      <c r="A35" s="15"/>
      <c r="B35" s="87"/>
      <c r="C35" s="80"/>
      <c r="D35" s="115"/>
      <c r="E35" s="116"/>
      <c r="G35" s="117"/>
      <c r="H35" s="80"/>
      <c r="J35" s="152"/>
      <c r="K35" s="153"/>
      <c r="L35" s="117"/>
      <c r="M35" s="428"/>
      <c r="N35" s="500"/>
      <c r="O35" s="500"/>
      <c r="P35" s="117"/>
      <c r="Q35" s="117"/>
    </row>
    <row r="36" spans="1:18" s="98" customFormat="1" x14ac:dyDescent="0.25">
      <c r="A36" s="15"/>
      <c r="B36" s="87"/>
      <c r="C36" s="80"/>
      <c r="D36" s="115"/>
      <c r="E36" s="116"/>
      <c r="G36" s="117"/>
      <c r="H36" s="80"/>
      <c r="K36" s="114" t="s">
        <v>144</v>
      </c>
      <c r="L36" s="117"/>
      <c r="M36" s="428"/>
      <c r="N36" s="500"/>
      <c r="O36" s="500"/>
      <c r="P36" s="117"/>
      <c r="Q36" s="117"/>
    </row>
    <row r="37" spans="1:18" s="98" customFormat="1" x14ac:dyDescent="0.25">
      <c r="A37" s="15"/>
      <c r="B37" s="121"/>
      <c r="C37" s="80"/>
      <c r="D37" s="115"/>
      <c r="E37" s="116"/>
      <c r="G37" s="117"/>
      <c r="H37" s="118">
        <f>ROUNDUP(F43,0)</f>
        <v>480</v>
      </c>
      <c r="I37" s="119" t="s">
        <v>201</v>
      </c>
      <c r="J37" s="87">
        <f>+B7*F43</f>
        <v>149.28</v>
      </c>
      <c r="K37" s="120">
        <f>+F43*G7</f>
        <v>309.28000000000003</v>
      </c>
      <c r="L37" s="117"/>
      <c r="M37" s="428"/>
      <c r="N37" s="500"/>
      <c r="O37" s="500"/>
      <c r="P37" s="117"/>
      <c r="Q37" s="117"/>
    </row>
    <row r="38" spans="1:18" s="125" customFormat="1" ht="31.5" x14ac:dyDescent="0.25">
      <c r="A38" s="653" t="s">
        <v>269</v>
      </c>
      <c r="B38" s="148" t="s">
        <v>199</v>
      </c>
      <c r="C38" s="149" t="s">
        <v>196</v>
      </c>
      <c r="D38" s="148" t="s">
        <v>197</v>
      </c>
      <c r="E38" s="122" t="s">
        <v>198</v>
      </c>
      <c r="F38" s="150" t="s">
        <v>188</v>
      </c>
      <c r="G38" s="124"/>
      <c r="H38" s="302">
        <v>0</v>
      </c>
      <c r="I38" s="62" t="s">
        <v>177</v>
      </c>
      <c r="J38" s="87">
        <f>+H38*45</f>
        <v>0</v>
      </c>
      <c r="K38" s="93">
        <f>+H38*85</f>
        <v>0</v>
      </c>
      <c r="L38" s="124"/>
      <c r="M38" s="526"/>
      <c r="N38" s="502"/>
      <c r="O38" s="502"/>
      <c r="P38" s="124"/>
      <c r="Q38" s="124"/>
    </row>
    <row r="39" spans="1:18" s="81" customFormat="1" x14ac:dyDescent="0.25">
      <c r="A39" s="78" t="s">
        <v>211</v>
      </c>
      <c r="B39" s="199" t="s">
        <v>187</v>
      </c>
      <c r="C39" s="192">
        <v>100</v>
      </c>
      <c r="D39" s="199">
        <v>30</v>
      </c>
      <c r="E39" s="145">
        <f>IF(B39="Daily",7, IF(B39="Weekly",1, IF(B39="Every Other Day",4,"")))</f>
        <v>4</v>
      </c>
      <c r="F39" s="146">
        <f>+D39*E39</f>
        <v>120</v>
      </c>
      <c r="G39" s="83"/>
      <c r="H39" s="80">
        <f>IF(E43&gt;=25, E43+2, E43+1)</f>
        <v>17</v>
      </c>
      <c r="I39" s="62" t="s">
        <v>217</v>
      </c>
      <c r="J39" s="87">
        <f>0.25*H39</f>
        <v>4.25</v>
      </c>
      <c r="K39" s="93"/>
      <c r="L39" s="83"/>
      <c r="M39" s="522"/>
      <c r="N39" s="503"/>
      <c r="O39" s="503"/>
      <c r="P39" s="83"/>
      <c r="Q39" s="83"/>
    </row>
    <row r="40" spans="1:18" s="81" customFormat="1" x14ac:dyDescent="0.25">
      <c r="A40" s="78" t="s">
        <v>212</v>
      </c>
      <c r="B40" s="199" t="s">
        <v>187</v>
      </c>
      <c r="C40" s="192">
        <v>100</v>
      </c>
      <c r="D40" s="199">
        <v>30</v>
      </c>
      <c r="E40" s="147">
        <f>IF(B40="Daily",7, IF(B40="Weekly",1, IF(B40="Every Other Day",4,"")))</f>
        <v>4</v>
      </c>
      <c r="F40" s="146">
        <f t="shared" ref="F40:F42" si="2">+D40*E40</f>
        <v>120</v>
      </c>
      <c r="G40" s="83"/>
      <c r="H40" s="80">
        <f>ROUNDUP(F44,0)</f>
        <v>2</v>
      </c>
      <c r="I40" s="62" t="s">
        <v>190</v>
      </c>
      <c r="J40" s="87">
        <f>+H40*0.8</f>
        <v>1.6</v>
      </c>
      <c r="K40" s="93"/>
      <c r="L40" s="83"/>
      <c r="M40" s="522"/>
      <c r="N40" s="503"/>
      <c r="O40" s="503"/>
      <c r="P40" s="83"/>
      <c r="Q40" s="83"/>
    </row>
    <row r="41" spans="1:18" s="81" customFormat="1" x14ac:dyDescent="0.25">
      <c r="A41" s="78" t="s">
        <v>213</v>
      </c>
      <c r="B41" s="199" t="s">
        <v>187</v>
      </c>
      <c r="C41" s="192">
        <v>100</v>
      </c>
      <c r="D41" s="199">
        <v>30</v>
      </c>
      <c r="E41" s="147">
        <f>IF(B41="Daily",7, IF(B41="Weekly",1, IF(B41="Every Other Day",4,"")))</f>
        <v>4</v>
      </c>
      <c r="F41" s="146">
        <f t="shared" si="2"/>
        <v>120</v>
      </c>
      <c r="G41" s="83"/>
      <c r="H41" s="80">
        <f>H39</f>
        <v>17</v>
      </c>
      <c r="I41" s="62" t="s">
        <v>200</v>
      </c>
      <c r="J41" s="87">
        <f>(5/100)*H41</f>
        <v>0.85000000000000009</v>
      </c>
      <c r="K41" s="93"/>
      <c r="L41" s="83"/>
      <c r="M41" s="522"/>
      <c r="N41" s="503"/>
      <c r="O41" s="503"/>
      <c r="P41" s="83"/>
      <c r="Q41" s="83"/>
    </row>
    <row r="42" spans="1:18" s="81" customFormat="1" x14ac:dyDescent="0.25">
      <c r="A42" s="100" t="s">
        <v>214</v>
      </c>
      <c r="B42" s="101" t="s">
        <v>187</v>
      </c>
      <c r="C42" s="102">
        <v>100</v>
      </c>
      <c r="D42" s="101">
        <v>30</v>
      </c>
      <c r="E42" s="144">
        <f>IF(B42="Daily",7, IF(B42="Weekly",1, IF(B42="Every Other Day",4,"")))</f>
        <v>4</v>
      </c>
      <c r="F42" s="103">
        <f t="shared" si="2"/>
        <v>120</v>
      </c>
      <c r="G42" s="83"/>
      <c r="H42" s="303">
        <v>0</v>
      </c>
      <c r="I42" s="71" t="s">
        <v>192</v>
      </c>
      <c r="J42" s="142">
        <f>H42*3.65</f>
        <v>0</v>
      </c>
      <c r="K42" s="143"/>
      <c r="L42" s="83"/>
      <c r="M42" s="522"/>
      <c r="N42" s="503"/>
      <c r="O42" s="503"/>
      <c r="P42" s="83"/>
      <c r="Q42" s="83"/>
    </row>
    <row r="43" spans="1:18" s="81" customFormat="1" x14ac:dyDescent="0.25">
      <c r="A43" s="88"/>
      <c r="B43" s="79"/>
      <c r="C43" s="80"/>
      <c r="D43" s="82"/>
      <c r="E43" s="126">
        <f>SUM(E39:E42)</f>
        <v>16</v>
      </c>
      <c r="F43" s="127">
        <f>SUM(F39:F42)</f>
        <v>480</v>
      </c>
      <c r="G43" s="83"/>
      <c r="H43" s="80"/>
      <c r="J43" s="128">
        <f>SUM(J37:J42)</f>
        <v>155.97999999999999</v>
      </c>
      <c r="K43" s="129">
        <f>ROUNDUP(SUM(K37:K42),0)</f>
        <v>310</v>
      </c>
      <c r="L43" s="83"/>
      <c r="M43" s="433" t="s">
        <v>202</v>
      </c>
      <c r="N43" s="428">
        <f>+K43-J43</f>
        <v>154.02000000000001</v>
      </c>
      <c r="O43" s="503"/>
      <c r="P43" s="83"/>
      <c r="Q43" s="83"/>
    </row>
    <row r="44" spans="1:18" s="81" customFormat="1" x14ac:dyDescent="0.25">
      <c r="A44" s="88"/>
      <c r="B44" s="79"/>
      <c r="C44" s="80"/>
      <c r="D44" s="82"/>
      <c r="E44" s="441" t="s">
        <v>204</v>
      </c>
      <c r="F44" s="484">
        <f>+F43/300</f>
        <v>1.6</v>
      </c>
      <c r="G44" s="83"/>
      <c r="H44" s="80"/>
      <c r="I44" s="131" t="s">
        <v>189</v>
      </c>
      <c r="J44" s="113">
        <f>+J43/H37</f>
        <v>0.32495833333333329</v>
      </c>
      <c r="K44" s="112">
        <f>+K43/H37</f>
        <v>0.64583333333333337</v>
      </c>
      <c r="L44" s="83"/>
      <c r="M44" s="522"/>
      <c r="N44" s="503"/>
      <c r="O44" s="503"/>
      <c r="P44" s="83"/>
      <c r="Q44" s="83"/>
    </row>
    <row r="45" spans="1:18" s="81" customFormat="1" x14ac:dyDescent="0.25">
      <c r="A45" s="88"/>
      <c r="B45" s="79"/>
      <c r="C45" s="80"/>
      <c r="D45" s="82"/>
      <c r="E45" s="109"/>
      <c r="G45" s="83"/>
      <c r="H45" s="80"/>
      <c r="I45" s="110"/>
      <c r="J45" s="111"/>
      <c r="L45" s="83"/>
      <c r="M45" s="522"/>
      <c r="N45" s="503"/>
      <c r="O45" s="503"/>
      <c r="P45" s="83"/>
      <c r="Q45" s="83"/>
    </row>
    <row r="46" spans="1:18" s="135" customFormat="1" x14ac:dyDescent="0.25">
      <c r="A46" s="132"/>
      <c r="B46" s="133"/>
      <c r="C46" s="134"/>
      <c r="E46" s="136"/>
      <c r="F46" s="137"/>
      <c r="I46" s="134"/>
      <c r="J46" s="138"/>
      <c r="K46" s="139"/>
      <c r="L46" s="140"/>
      <c r="N46" s="530"/>
      <c r="O46" s="505"/>
      <c r="P46" s="505"/>
    </row>
    <row r="47" spans="1:18" s="81" customFormat="1" x14ac:dyDescent="0.25">
      <c r="A47" s="88"/>
      <c r="B47" s="79"/>
      <c r="C47" s="80"/>
      <c r="E47" s="82"/>
      <c r="F47" s="109"/>
      <c r="H47" s="83"/>
      <c r="I47" s="80"/>
      <c r="J47" s="110"/>
      <c r="K47" s="111"/>
      <c r="L47" s="112"/>
      <c r="M47" s="83"/>
      <c r="N47" s="522"/>
      <c r="O47" s="503"/>
      <c r="P47" s="503"/>
      <c r="Q47" s="83"/>
      <c r="R47" s="83"/>
    </row>
    <row r="48" spans="1:18" s="81" customFormat="1" x14ac:dyDescent="0.25">
      <c r="A48" s="654" t="s">
        <v>215</v>
      </c>
      <c r="B48" s="79" t="s">
        <v>216</v>
      </c>
      <c r="C48" s="80"/>
      <c r="E48" s="82"/>
      <c r="F48" s="109"/>
      <c r="H48" s="83"/>
      <c r="I48" s="80"/>
      <c r="J48" s="110"/>
      <c r="K48" s="111"/>
      <c r="L48" s="112"/>
      <c r="M48" s="83"/>
      <c r="N48" s="522"/>
      <c r="O48" s="503"/>
      <c r="P48" s="503"/>
      <c r="Q48" s="83"/>
      <c r="R48" s="83"/>
    </row>
    <row r="49" spans="1:18" s="81" customFormat="1" x14ac:dyDescent="0.25">
      <c r="A49" s="13" t="s">
        <v>195</v>
      </c>
      <c r="B49" s="79"/>
      <c r="C49" s="80"/>
      <c r="E49" s="82"/>
      <c r="F49" s="109"/>
      <c r="H49" s="83"/>
      <c r="I49" s="80"/>
      <c r="J49" s="110"/>
      <c r="K49" s="111"/>
      <c r="L49" s="112"/>
      <c r="M49" s="83"/>
      <c r="N49" s="522"/>
      <c r="O49" s="503"/>
      <c r="P49" s="503"/>
      <c r="Q49" s="83"/>
      <c r="R49" s="83"/>
    </row>
    <row r="50" spans="1:18" s="81" customFormat="1" x14ac:dyDescent="0.25">
      <c r="A50" s="88"/>
      <c r="B50" s="79"/>
      <c r="C50" s="80"/>
      <c r="E50" s="82"/>
      <c r="F50" s="109"/>
      <c r="H50" s="83"/>
      <c r="I50" s="80"/>
      <c r="J50" s="110"/>
      <c r="K50" s="111"/>
      <c r="L50" s="112"/>
      <c r="M50" s="83"/>
      <c r="N50" s="522"/>
      <c r="O50" s="503"/>
      <c r="P50" s="503"/>
      <c r="Q50" s="83"/>
      <c r="R50" s="83"/>
    </row>
    <row r="51" spans="1:18" s="379" customFormat="1" x14ac:dyDescent="0.25">
      <c r="E51" s="380"/>
      <c r="G51" s="381"/>
      <c r="H51" s="382"/>
      <c r="I51" s="383"/>
      <c r="L51" s="141"/>
      <c r="N51" s="531"/>
      <c r="O51" s="506"/>
    </row>
    <row r="52" spans="1:18" s="379" customFormat="1" x14ac:dyDescent="0.25">
      <c r="D52" s="380"/>
      <c r="F52" s="141"/>
      <c r="G52" s="382"/>
      <c r="H52" s="383"/>
      <c r="K52" s="141"/>
      <c r="N52" s="506"/>
      <c r="O52" s="506"/>
    </row>
    <row r="53" spans="1:18" s="379" customFormat="1" x14ac:dyDescent="0.25">
      <c r="D53" s="380"/>
      <c r="F53" s="141"/>
      <c r="G53" s="382"/>
      <c r="H53" s="383"/>
      <c r="K53" s="141"/>
      <c r="N53" s="506"/>
      <c r="O53" s="506"/>
    </row>
    <row r="54" spans="1:18" s="379" customFormat="1" x14ac:dyDescent="0.25">
      <c r="D54" s="380"/>
      <c r="F54" s="141"/>
      <c r="G54" s="382"/>
      <c r="H54" s="383"/>
      <c r="K54" s="141"/>
      <c r="N54" s="506"/>
      <c r="O54" s="506"/>
    </row>
    <row r="55" spans="1:18" x14ac:dyDescent="0.25">
      <c r="D55" s="67"/>
      <c r="E55"/>
      <c r="F55" s="62"/>
      <c r="G55" s="13"/>
      <c r="H55" s="96"/>
      <c r="I55"/>
      <c r="K55" s="62"/>
      <c r="L55"/>
      <c r="M55" s="62"/>
      <c r="N55" s="507"/>
      <c r="O55" s="507"/>
    </row>
    <row r="56" spans="1:18" x14ac:dyDescent="0.25">
      <c r="A56" t="s">
        <v>351</v>
      </c>
      <c r="D56" s="67"/>
      <c r="E56" s="62"/>
      <c r="F56" s="62"/>
      <c r="G56" s="13"/>
      <c r="H56" s="96"/>
      <c r="I56" s="62"/>
      <c r="J56" s="62"/>
      <c r="K56" s="62"/>
      <c r="L56"/>
      <c r="N56" s="507"/>
      <c r="O56" s="507"/>
    </row>
    <row r="57" spans="1:18" ht="17.25" customHeight="1" x14ac:dyDescent="0.25">
      <c r="D57" s="532" t="s">
        <v>375</v>
      </c>
      <c r="E57" s="62"/>
      <c r="F57" s="62"/>
      <c r="G57" s="13"/>
      <c r="H57" s="96"/>
      <c r="I57" s="62"/>
      <c r="J57" s="62"/>
      <c r="K57" s="62"/>
      <c r="L57"/>
      <c r="N57" s="507"/>
      <c r="O57" s="507"/>
    </row>
    <row r="58" spans="1:18" s="61" customFormat="1" x14ac:dyDescent="0.25">
      <c r="A58" s="61" t="s">
        <v>368</v>
      </c>
      <c r="D58" s="61" t="s">
        <v>369</v>
      </c>
      <c r="E58" s="453"/>
      <c r="F58" s="453"/>
      <c r="G58" s="458"/>
      <c r="H58" s="459"/>
      <c r="I58" s="453"/>
      <c r="J58" s="453"/>
      <c r="K58" s="453"/>
      <c r="N58" s="563"/>
      <c r="O58" s="563"/>
    </row>
    <row r="59" spans="1:18" x14ac:dyDescent="0.25">
      <c r="B59" s="61"/>
      <c r="D59" s="67"/>
      <c r="E59" s="62" t="s">
        <v>366</v>
      </c>
      <c r="F59" s="461">
        <f>F43</f>
        <v>480</v>
      </c>
      <c r="G59" s="13"/>
      <c r="H59" s="96"/>
      <c r="I59" s="62"/>
      <c r="J59" s="62"/>
      <c r="K59" s="62"/>
      <c r="L59"/>
      <c r="N59" s="507"/>
      <c r="O59" s="507"/>
    </row>
    <row r="60" spans="1:18" x14ac:dyDescent="0.25">
      <c r="A60" s="368" t="s">
        <v>364</v>
      </c>
      <c r="B60" s="460">
        <f>N43</f>
        <v>154.02000000000001</v>
      </c>
      <c r="D60" s="67"/>
      <c r="E60" s="71" t="s">
        <v>360</v>
      </c>
      <c r="F60" s="71">
        <v>10</v>
      </c>
      <c r="G60" s="13"/>
      <c r="H60" s="96"/>
      <c r="I60" s="62"/>
      <c r="J60" s="62"/>
      <c r="K60" s="62"/>
      <c r="L60"/>
      <c r="N60"/>
    </row>
    <row r="61" spans="1:18" x14ac:dyDescent="0.25">
      <c r="D61" s="67"/>
      <c r="E61" s="62"/>
      <c r="F61" s="62">
        <f>+F60*F59</f>
        <v>4800</v>
      </c>
      <c r="G61" s="13" t="s">
        <v>367</v>
      </c>
      <c r="H61" s="96"/>
      <c r="I61" s="62"/>
      <c r="J61" s="62"/>
      <c r="K61" s="62"/>
      <c r="L61"/>
      <c r="N61"/>
    </row>
    <row r="62" spans="1:18" x14ac:dyDescent="0.25">
      <c r="D62" s="67"/>
      <c r="E62" s="453" t="s">
        <v>361</v>
      </c>
      <c r="F62" s="453">
        <f>ROUNDUP((F61/300),0)</f>
        <v>16</v>
      </c>
      <c r="G62" s="13"/>
      <c r="H62" s="96"/>
      <c r="I62" s="62"/>
      <c r="J62" s="62"/>
      <c r="K62" s="62"/>
      <c r="L62"/>
      <c r="N62"/>
    </row>
    <row r="63" spans="1:18" x14ac:dyDescent="0.25">
      <c r="D63" s="67"/>
      <c r="E63" s="62" t="s">
        <v>362</v>
      </c>
      <c r="F63" s="454">
        <f>+F62*100</f>
        <v>1600</v>
      </c>
      <c r="G63" s="13"/>
      <c r="H63" s="96"/>
      <c r="I63" s="62"/>
      <c r="J63" s="62"/>
      <c r="K63" s="62"/>
      <c r="L63"/>
      <c r="N63"/>
    </row>
    <row r="64" spans="1:18" x14ac:dyDescent="0.25">
      <c r="D64" s="67"/>
      <c r="E64" s="62"/>
      <c r="F64" s="62"/>
      <c r="G64" s="13"/>
      <c r="H64" s="96"/>
      <c r="I64" s="62"/>
      <c r="J64" s="62"/>
      <c r="K64" s="62"/>
      <c r="L64"/>
      <c r="N64"/>
    </row>
    <row r="65" spans="1:17" x14ac:dyDescent="0.25">
      <c r="D65" s="455"/>
      <c r="E65" s="456" t="s">
        <v>363</v>
      </c>
      <c r="F65" s="457">
        <f>+F63/10</f>
        <v>160</v>
      </c>
      <c r="G65" s="13"/>
      <c r="H65" s="96"/>
      <c r="I65" s="62"/>
      <c r="J65" s="62"/>
      <c r="K65" s="62"/>
      <c r="L65"/>
      <c r="N65"/>
    </row>
    <row r="66" spans="1:17" x14ac:dyDescent="0.25">
      <c r="N66"/>
    </row>
    <row r="67" spans="1:17" x14ac:dyDescent="0.25">
      <c r="G67"/>
      <c r="H67" s="95"/>
    </row>
    <row r="69" spans="1:17" x14ac:dyDescent="0.25">
      <c r="A69" s="379"/>
      <c r="B69" s="379"/>
      <c r="C69" s="379"/>
      <c r="D69" s="380"/>
      <c r="E69" s="141"/>
      <c r="F69" s="141"/>
      <c r="G69" s="382"/>
      <c r="H69" s="383"/>
      <c r="I69" s="141"/>
      <c r="J69" s="141"/>
      <c r="K69" s="141"/>
      <c r="L69" s="379"/>
      <c r="M69" s="379"/>
      <c r="N69" s="379"/>
      <c r="O69" s="379"/>
      <c r="P69" s="379"/>
      <c r="Q69" s="379"/>
    </row>
    <row r="70" spans="1:17" x14ac:dyDescent="0.25">
      <c r="A70" s="379"/>
      <c r="B70" s="379"/>
      <c r="C70" s="379"/>
      <c r="D70" s="380"/>
      <c r="E70" s="141"/>
      <c r="F70" s="141"/>
      <c r="G70" s="382"/>
      <c r="H70" s="383"/>
      <c r="I70" s="141"/>
      <c r="J70" s="141"/>
      <c r="K70" s="141"/>
      <c r="L70" s="379"/>
      <c r="M70" s="379"/>
      <c r="N70" s="379"/>
      <c r="O70" s="379"/>
      <c r="P70" s="379"/>
      <c r="Q70" s="379"/>
    </row>
    <row r="71" spans="1:17" x14ac:dyDescent="0.25">
      <c r="A71" s="379"/>
      <c r="B71" s="379"/>
      <c r="C71" s="379"/>
      <c r="D71" s="380"/>
      <c r="E71" s="141"/>
      <c r="F71" s="141"/>
      <c r="G71" s="382"/>
      <c r="H71" s="383"/>
      <c r="I71" s="141"/>
      <c r="J71" s="141"/>
      <c r="K71" s="141"/>
      <c r="L71" s="379"/>
      <c r="M71" s="379"/>
      <c r="N71" s="379"/>
      <c r="O71" s="379"/>
      <c r="P71" s="379"/>
      <c r="Q71" s="379"/>
    </row>
    <row r="72" spans="1:17" x14ac:dyDescent="0.25">
      <c r="D72" s="67"/>
      <c r="E72" s="62"/>
      <c r="F72" s="62"/>
      <c r="G72" s="13"/>
      <c r="H72" s="96"/>
      <c r="I72" s="62"/>
      <c r="J72" s="62"/>
      <c r="K72" s="62"/>
      <c r="L72"/>
      <c r="N72"/>
    </row>
    <row r="73" spans="1:17" x14ac:dyDescent="0.25">
      <c r="D73" s="67"/>
      <c r="E73" s="62"/>
      <c r="F73" s="62"/>
      <c r="G73" s="13"/>
      <c r="H73" s="96"/>
      <c r="I73" s="62"/>
      <c r="J73" s="62"/>
      <c r="K73" s="62"/>
      <c r="L73"/>
      <c r="N73"/>
    </row>
    <row r="74" spans="1:17" x14ac:dyDescent="0.25">
      <c r="A74" t="s">
        <v>387</v>
      </c>
      <c r="D74" s="67"/>
      <c r="E74" s="62"/>
      <c r="F74" s="62"/>
      <c r="G74" s="13"/>
      <c r="H74" s="96"/>
      <c r="I74" t="s">
        <v>387</v>
      </c>
      <c r="L74" s="67"/>
      <c r="N74"/>
    </row>
    <row r="75" spans="1:17" x14ac:dyDescent="0.25">
      <c r="A75" t="s">
        <v>388</v>
      </c>
      <c r="D75" s="67"/>
      <c r="E75" s="62"/>
      <c r="F75" s="62"/>
      <c r="G75" s="13"/>
      <c r="H75" s="96"/>
      <c r="I75" s="64" t="s">
        <v>390</v>
      </c>
      <c r="L75" s="67"/>
      <c r="N75"/>
    </row>
    <row r="76" spans="1:17" x14ac:dyDescent="0.25">
      <c r="D76" s="67"/>
      <c r="E76" s="62"/>
      <c r="F76" s="62"/>
      <c r="G76" s="13"/>
      <c r="H76" s="96"/>
      <c r="I76"/>
      <c r="L76" s="67"/>
      <c r="N76"/>
    </row>
    <row r="77" spans="1:17" x14ac:dyDescent="0.25">
      <c r="A77" s="587"/>
      <c r="B77" s="587" t="s">
        <v>389</v>
      </c>
      <c r="C77" s="64" t="s">
        <v>113</v>
      </c>
      <c r="D77" s="593" t="s">
        <v>202</v>
      </c>
      <c r="E77" s="588"/>
      <c r="F77" s="588"/>
      <c r="G77" s="589"/>
      <c r="H77" s="590"/>
      <c r="I77" s="587"/>
      <c r="J77" s="587" t="s">
        <v>389</v>
      </c>
      <c r="K77" s="64" t="s">
        <v>113</v>
      </c>
      <c r="L77" s="593" t="s">
        <v>202</v>
      </c>
      <c r="M77" s="587"/>
      <c r="N77" s="587"/>
      <c r="O77" s="587"/>
      <c r="P77" s="587"/>
      <c r="Q77" s="587"/>
    </row>
    <row r="78" spans="1:17" x14ac:dyDescent="0.25">
      <c r="A78" s="599">
        <v>0</v>
      </c>
      <c r="B78" s="66">
        <f>K43</f>
        <v>310</v>
      </c>
      <c r="C78" s="65">
        <f>J43</f>
        <v>155.97999999999999</v>
      </c>
      <c r="D78" s="603">
        <f>+B78-C78</f>
        <v>154.02000000000001</v>
      </c>
      <c r="E78" s="588"/>
      <c r="F78" s="588"/>
      <c r="G78" s="589"/>
      <c r="H78" s="590"/>
      <c r="I78" s="599">
        <v>0</v>
      </c>
      <c r="J78" s="602">
        <f>K19</f>
        <v>252</v>
      </c>
      <c r="K78" s="600">
        <f>J19</f>
        <v>131.63999999999999</v>
      </c>
      <c r="L78" s="601">
        <f>+J78-K78</f>
        <v>120.36000000000001</v>
      </c>
      <c r="M78" s="587"/>
      <c r="N78" s="587"/>
      <c r="O78" s="587"/>
      <c r="P78" s="587"/>
      <c r="Q78" s="587"/>
    </row>
    <row r="79" spans="1:17" x14ac:dyDescent="0.25">
      <c r="A79" s="596">
        <v>0.1</v>
      </c>
      <c r="B79" s="66">
        <f>0.9*B78</f>
        <v>279</v>
      </c>
      <c r="C79" s="65">
        <f>C78</f>
        <v>155.97999999999999</v>
      </c>
      <c r="D79" s="603">
        <f t="shared" ref="D79:D82" si="3">+B79-C79</f>
        <v>123.02000000000001</v>
      </c>
      <c r="E79" s="225"/>
      <c r="F79" s="225"/>
      <c r="G79" s="591"/>
      <c r="H79" s="592"/>
      <c r="I79" s="596">
        <v>0.1</v>
      </c>
      <c r="J79" s="587">
        <f>0.9*J78</f>
        <v>226.8</v>
      </c>
      <c r="K79" s="600">
        <f>K78</f>
        <v>131.63999999999999</v>
      </c>
      <c r="L79" s="601">
        <f t="shared" ref="L79:L82" si="4">+J79-K79</f>
        <v>95.160000000000025</v>
      </c>
      <c r="M79" s="64"/>
      <c r="N79" s="64"/>
      <c r="O79" s="64"/>
      <c r="P79" s="64"/>
      <c r="Q79" s="64"/>
    </row>
    <row r="80" spans="1:17" x14ac:dyDescent="0.25">
      <c r="A80" s="597">
        <v>0.15</v>
      </c>
      <c r="B80" s="66">
        <f>+B78*0.85</f>
        <v>263.5</v>
      </c>
      <c r="C80" s="65">
        <f t="shared" ref="C80:C82" si="5">C79</f>
        <v>155.97999999999999</v>
      </c>
      <c r="D80" s="603">
        <f t="shared" si="3"/>
        <v>107.52000000000001</v>
      </c>
      <c r="E80" s="498"/>
      <c r="F80" s="498"/>
      <c r="G80" s="594"/>
      <c r="H80" s="595"/>
      <c r="I80" s="597">
        <v>0.15</v>
      </c>
      <c r="J80" s="587">
        <f>+J78*0.85</f>
        <v>214.2</v>
      </c>
      <c r="K80" s="600">
        <f t="shared" ref="K80:K82" si="6">K79</f>
        <v>131.63999999999999</v>
      </c>
      <c r="L80" s="601">
        <f t="shared" si="4"/>
        <v>82.56</v>
      </c>
      <c r="M80" s="507"/>
      <c r="N80" s="507"/>
      <c r="O80" s="507"/>
      <c r="P80" s="507"/>
      <c r="Q80" s="507"/>
    </row>
    <row r="81" spans="1:14" x14ac:dyDescent="0.25">
      <c r="A81" s="598">
        <v>0.2</v>
      </c>
      <c r="B81" s="66">
        <f>0.8*B78</f>
        <v>248</v>
      </c>
      <c r="C81" s="65">
        <f t="shared" si="5"/>
        <v>155.97999999999999</v>
      </c>
      <c r="D81" s="604">
        <f t="shared" si="3"/>
        <v>92.02000000000001</v>
      </c>
      <c r="E81" s="62"/>
      <c r="F81" s="62"/>
      <c r="G81" s="13"/>
      <c r="H81" s="96"/>
      <c r="I81" s="598">
        <v>0.2</v>
      </c>
      <c r="J81" s="587">
        <f>0.8*J78</f>
        <v>201.60000000000002</v>
      </c>
      <c r="K81" s="600">
        <f t="shared" si="6"/>
        <v>131.63999999999999</v>
      </c>
      <c r="L81" s="601">
        <f t="shared" si="4"/>
        <v>69.960000000000036</v>
      </c>
      <c r="N81"/>
    </row>
    <row r="82" spans="1:14" x14ac:dyDescent="0.25">
      <c r="A82" s="598">
        <v>0.25</v>
      </c>
      <c r="B82" s="66">
        <f>0.75*B78</f>
        <v>232.5</v>
      </c>
      <c r="C82" s="65">
        <f t="shared" si="5"/>
        <v>155.97999999999999</v>
      </c>
      <c r="D82" s="604">
        <f t="shared" si="3"/>
        <v>76.52000000000001</v>
      </c>
      <c r="E82" s="62"/>
      <c r="F82" s="62"/>
      <c r="G82" s="13"/>
      <c r="H82" s="96"/>
      <c r="I82" s="598">
        <v>0.25</v>
      </c>
      <c r="J82" s="587">
        <f>0.755*J78</f>
        <v>190.26</v>
      </c>
      <c r="K82" s="600">
        <f t="shared" si="6"/>
        <v>131.63999999999999</v>
      </c>
      <c r="L82" s="601">
        <f t="shared" si="4"/>
        <v>58.620000000000005</v>
      </c>
      <c r="N82"/>
    </row>
  </sheetData>
  <mergeCells count="1">
    <mergeCell ref="C4:D4"/>
  </mergeCells>
  <dataValidations count="1">
    <dataValidation type="list" allowBlank="1" showInputMessage="1" showErrorMessage="1" sqref="B15:B18 B39:B42 B27:B30" xr:uid="{AFF36824-027C-43DB-BEAE-5090F4845CAF}">
      <formula1>$N$1:$N$3</formula1>
    </dataValidation>
  </dataValidations>
  <pageMargins left="0.7" right="0.7" top="0.75" bottom="0.75" header="0.3" footer="0.3"/>
  <pageSetup scale="68" fitToHeight="1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7A8CD-39C5-49C8-9B89-B06450661729}">
  <sheetPr codeName="Sheet19">
    <pageSetUpPr fitToPage="1"/>
  </sheetPr>
  <dimension ref="A1:S73"/>
  <sheetViews>
    <sheetView topLeftCell="A44" workbookViewId="0">
      <selection activeCell="D69" sqref="D69"/>
    </sheetView>
  </sheetViews>
  <sheetFormatPr defaultColWidth="10.625" defaultRowHeight="15.75" x14ac:dyDescent="0.25"/>
  <cols>
    <col min="5" max="5" width="10.625" style="67"/>
    <col min="7" max="7" width="10.625" style="95"/>
    <col min="8" max="8" width="5.625" style="13" customWidth="1"/>
    <col min="9" max="9" width="10.625" style="96"/>
    <col min="12" max="12" width="10.625" style="62"/>
  </cols>
  <sheetData>
    <row r="1" spans="1:19" ht="30.75" customHeight="1" x14ac:dyDescent="0.55000000000000004">
      <c r="A1" s="234" t="s">
        <v>220</v>
      </c>
      <c r="B1" s="236"/>
      <c r="C1" s="236"/>
      <c r="D1" s="236"/>
      <c r="I1" s="117"/>
      <c r="J1" s="158"/>
      <c r="K1" s="287"/>
      <c r="L1" s="117"/>
      <c r="N1" s="154"/>
    </row>
    <row r="2" spans="1:19" s="98" customFormat="1" x14ac:dyDescent="0.25">
      <c r="A2" s="87"/>
      <c r="B2" s="87">
        <v>55</v>
      </c>
      <c r="C2" s="87" t="s">
        <v>142</v>
      </c>
      <c r="E2" s="117"/>
      <c r="F2" s="117"/>
      <c r="G2" s="117"/>
      <c r="H2" s="117"/>
      <c r="I2" s="117"/>
      <c r="J2" s="429"/>
      <c r="K2" s="430"/>
      <c r="L2" s="287"/>
      <c r="M2" s="117"/>
      <c r="N2" s="117"/>
      <c r="O2" s="155"/>
      <c r="P2" s="117"/>
      <c r="Q2" s="117"/>
      <c r="R2" s="117"/>
      <c r="S2" s="117"/>
    </row>
    <row r="3" spans="1:19" s="98" customFormat="1" ht="18" x14ac:dyDescent="0.4">
      <c r="A3" s="87"/>
      <c r="B3" s="142">
        <v>3.3</v>
      </c>
      <c r="C3" s="142" t="s">
        <v>185</v>
      </c>
      <c r="E3" s="117"/>
      <c r="F3" s="511" t="s">
        <v>349</v>
      </c>
      <c r="G3" s="512" t="s">
        <v>144</v>
      </c>
      <c r="H3" s="117"/>
      <c r="I3" s="117"/>
      <c r="J3" s="117"/>
      <c r="K3" s="117"/>
      <c r="L3" s="152"/>
      <c r="M3" s="117"/>
      <c r="N3" s="117"/>
      <c r="O3" s="155"/>
      <c r="P3" s="117"/>
      <c r="Q3" s="117"/>
      <c r="R3" s="117"/>
      <c r="S3" s="117"/>
    </row>
    <row r="4" spans="1:19" s="98" customFormat="1" x14ac:dyDescent="0.25">
      <c r="A4" s="87"/>
      <c r="B4" s="87">
        <f>SUM(B2:B3)</f>
        <v>58.3</v>
      </c>
      <c r="C4" s="87"/>
      <c r="E4" s="270"/>
      <c r="F4" s="117">
        <v>100</v>
      </c>
      <c r="G4" s="130">
        <f>+F4+B4</f>
        <v>158.30000000000001</v>
      </c>
      <c r="H4" s="117"/>
      <c r="I4" s="117"/>
      <c r="J4" s="158"/>
      <c r="K4" s="117"/>
      <c r="L4" s="152"/>
      <c r="M4" s="117"/>
      <c r="N4" s="117"/>
      <c r="O4" s="157"/>
      <c r="P4" s="117"/>
      <c r="Q4" s="117"/>
      <c r="R4" s="117"/>
      <c r="S4" s="117"/>
    </row>
    <row r="5" spans="1:19" s="98" customFormat="1" x14ac:dyDescent="0.25">
      <c r="A5" s="314"/>
      <c r="B5" s="87"/>
      <c r="C5" s="87"/>
      <c r="E5" s="270"/>
      <c r="F5" s="270"/>
      <c r="G5" s="392"/>
      <c r="H5" s="117"/>
      <c r="I5" s="117"/>
      <c r="J5" s="158"/>
      <c r="K5" s="117"/>
      <c r="L5" s="152"/>
      <c r="M5" s="117"/>
      <c r="N5" s="117"/>
      <c r="P5" s="117"/>
      <c r="Q5" s="117"/>
      <c r="R5" s="117"/>
      <c r="S5" s="117"/>
    </row>
    <row r="6" spans="1:19" s="98" customFormat="1" x14ac:dyDescent="0.25">
      <c r="A6" s="225" t="s">
        <v>189</v>
      </c>
      <c r="B6" s="87">
        <f>+B4/300</f>
        <v>0.19433333333333333</v>
      </c>
      <c r="C6" s="87"/>
      <c r="E6" s="117"/>
      <c r="F6" s="62" t="s">
        <v>189</v>
      </c>
      <c r="G6" s="392">
        <f>+G4/300</f>
        <v>0.52766666666666673</v>
      </c>
      <c r="H6" s="471"/>
      <c r="I6" s="117"/>
      <c r="J6" s="158"/>
      <c r="K6" s="117"/>
      <c r="L6" s="152"/>
      <c r="M6" s="153"/>
      <c r="N6" s="117"/>
      <c r="O6" s="117"/>
      <c r="P6" s="117"/>
      <c r="Q6" s="117"/>
      <c r="R6" s="117"/>
      <c r="S6" s="117"/>
    </row>
    <row r="7" spans="1:19" s="117" customFormat="1" x14ac:dyDescent="0.25">
      <c r="A7" s="62"/>
      <c r="B7" s="128"/>
      <c r="E7" s="62"/>
      <c r="F7" s="390"/>
      <c r="G7" s="471"/>
      <c r="I7" s="158"/>
      <c r="K7" s="152"/>
      <c r="L7" s="153"/>
    </row>
    <row r="8" spans="1:19" s="161" customFormat="1" x14ac:dyDescent="0.25">
      <c r="A8" s="159"/>
      <c r="B8" s="160"/>
      <c r="E8" s="162"/>
      <c r="F8" s="163"/>
      <c r="I8" s="164"/>
      <c r="K8" s="165"/>
      <c r="L8" s="166"/>
    </row>
    <row r="9" spans="1:19" s="161" customFormat="1" x14ac:dyDescent="0.25">
      <c r="A9" s="159"/>
      <c r="B9" s="160"/>
      <c r="E9" s="162"/>
      <c r="F9" s="163"/>
      <c r="I9" s="164"/>
      <c r="K9" s="165"/>
      <c r="L9" s="166"/>
    </row>
    <row r="10" spans="1:19" s="161" customFormat="1" x14ac:dyDescent="0.25">
      <c r="A10" s="159"/>
      <c r="B10" s="160"/>
      <c r="E10" s="162"/>
      <c r="F10" s="163"/>
      <c r="I10" s="164"/>
      <c r="K10" s="165"/>
      <c r="L10" s="166"/>
    </row>
    <row r="11" spans="1:19" s="241" customFormat="1" x14ac:dyDescent="0.25">
      <c r="B11" s="172"/>
      <c r="C11" s="173"/>
      <c r="D11" s="174"/>
      <c r="E11" s="175"/>
      <c r="F11" s="176"/>
      <c r="G11" s="177"/>
      <c r="H11" s="172"/>
      <c r="I11" s="178"/>
      <c r="J11" s="179"/>
      <c r="K11" s="180"/>
      <c r="L11" s="181"/>
    </row>
    <row r="12" spans="1:19" s="117" customFormat="1" x14ac:dyDescent="0.25">
      <c r="A12" s="15"/>
      <c r="B12" s="87"/>
      <c r="C12" s="80"/>
      <c r="D12" s="115"/>
      <c r="E12" s="116"/>
      <c r="F12" s="98"/>
      <c r="H12" s="80"/>
      <c r="I12" s="98"/>
      <c r="J12" s="152"/>
      <c r="K12" s="153"/>
    </row>
    <row r="13" spans="1:19" s="117" customFormat="1" x14ac:dyDescent="0.25">
      <c r="A13" s="168" t="s">
        <v>218</v>
      </c>
      <c r="B13" s="87"/>
      <c r="C13" s="80"/>
      <c r="D13" s="115"/>
      <c r="E13" s="116"/>
      <c r="F13" s="98"/>
    </row>
    <row r="14" spans="1:19" s="117" customFormat="1" x14ac:dyDescent="0.25">
      <c r="A14" s="15"/>
      <c r="B14" s="121"/>
      <c r="C14" s="80"/>
      <c r="D14" s="115"/>
      <c r="E14" s="116"/>
      <c r="F14" s="98"/>
      <c r="H14" s="80"/>
      <c r="I14" s="98"/>
      <c r="J14" s="98"/>
      <c r="K14" s="280" t="s">
        <v>144</v>
      </c>
      <c r="N14" s="319"/>
    </row>
    <row r="15" spans="1:19" s="117" customFormat="1" ht="31.5" x14ac:dyDescent="0.25">
      <c r="A15" s="182"/>
      <c r="B15" s="318" t="s">
        <v>284</v>
      </c>
      <c r="C15" s="184" t="s">
        <v>196</v>
      </c>
      <c r="D15" s="183" t="s">
        <v>197</v>
      </c>
      <c r="E15" s="169" t="s">
        <v>198</v>
      </c>
      <c r="F15" s="185" t="s">
        <v>188</v>
      </c>
      <c r="G15" s="124"/>
      <c r="H15" s="261">
        <f>ROUNDUP(F20,0)</f>
        <v>75</v>
      </c>
      <c r="I15" s="262" t="s">
        <v>201</v>
      </c>
      <c r="J15" s="87">
        <f>+B6*F20</f>
        <v>14.574999999999999</v>
      </c>
      <c r="K15" s="264">
        <f>+F20*G7</f>
        <v>0</v>
      </c>
      <c r="O15" s="301"/>
      <c r="P15" s="293"/>
    </row>
    <row r="16" spans="1:19" s="117" customFormat="1" x14ac:dyDescent="0.25">
      <c r="A16" s="306"/>
      <c r="B16" s="251"/>
      <c r="C16" s="252"/>
      <c r="D16" s="251"/>
      <c r="E16" s="254"/>
      <c r="F16" s="255"/>
      <c r="G16" s="83"/>
      <c r="H16" s="124"/>
      <c r="I16" s="305" t="s">
        <v>177</v>
      </c>
      <c r="J16" s="87" t="s">
        <v>283</v>
      </c>
      <c r="K16" s="268">
        <f>+H16*85</f>
        <v>0</v>
      </c>
      <c r="N16" s="500"/>
      <c r="O16" s="565"/>
      <c r="P16" s="566"/>
    </row>
    <row r="17" spans="1:17" s="117" customFormat="1" x14ac:dyDescent="0.25">
      <c r="A17" s="306"/>
      <c r="B17" s="251">
        <v>5</v>
      </c>
      <c r="C17" s="252"/>
      <c r="D17" s="251">
        <v>15</v>
      </c>
      <c r="E17" s="256">
        <f>B17</f>
        <v>5</v>
      </c>
      <c r="F17" s="255">
        <f t="shared" ref="F17" si="0">+D17*E17</f>
        <v>75</v>
      </c>
      <c r="G17" s="83"/>
      <c r="H17" s="266">
        <f>E20</f>
        <v>5</v>
      </c>
      <c r="I17" s="305" t="s">
        <v>221</v>
      </c>
      <c r="J17" s="87">
        <f>+H17*0.24</f>
        <v>1.2</v>
      </c>
      <c r="K17" s="268"/>
      <c r="N17" s="500"/>
      <c r="O17" s="565"/>
      <c r="P17" s="566"/>
    </row>
    <row r="18" spans="1:17" s="117" customFormat="1" x14ac:dyDescent="0.25">
      <c r="A18" s="306"/>
      <c r="B18" s="251"/>
      <c r="C18" s="252"/>
      <c r="D18" s="251"/>
      <c r="E18" s="256"/>
      <c r="F18" s="255"/>
      <c r="G18" s="83"/>
      <c r="H18" s="266">
        <f>E20</f>
        <v>5</v>
      </c>
      <c r="I18" s="305" t="s">
        <v>200</v>
      </c>
      <c r="J18" s="87">
        <f>0.05*H18</f>
        <v>0.25</v>
      </c>
      <c r="K18" s="268"/>
      <c r="N18" s="500"/>
      <c r="O18" s="500"/>
      <c r="P18" s="500"/>
    </row>
    <row r="19" spans="1:17" s="117" customFormat="1" x14ac:dyDescent="0.25">
      <c r="A19" s="306"/>
      <c r="B19" s="257"/>
      <c r="C19" s="258"/>
      <c r="D19" s="257"/>
      <c r="E19" s="259"/>
      <c r="F19" s="260"/>
      <c r="G19" s="83"/>
      <c r="H19" s="252">
        <v>0</v>
      </c>
      <c r="I19" s="304" t="s">
        <v>192</v>
      </c>
      <c r="J19" s="142">
        <f>H19*3.65</f>
        <v>0</v>
      </c>
      <c r="K19" s="317"/>
      <c r="M19" s="410"/>
      <c r="N19" s="500"/>
      <c r="O19" s="500"/>
      <c r="P19" s="500"/>
    </row>
    <row r="20" spans="1:17" s="117" customFormat="1" x14ac:dyDescent="0.25">
      <c r="A20" s="88"/>
      <c r="B20" s="79"/>
      <c r="C20" s="80"/>
      <c r="D20" s="82"/>
      <c r="E20" s="194">
        <f>SUM(E16:E19)</f>
        <v>5</v>
      </c>
      <c r="F20" s="279">
        <f>SUM(F16:F19)</f>
        <v>75</v>
      </c>
      <c r="G20" s="83"/>
      <c r="H20" s="80"/>
      <c r="I20" s="81"/>
      <c r="J20" s="128">
        <f>SUM(J15:J19)</f>
        <v>16.024999999999999</v>
      </c>
      <c r="K20" s="269">
        <f>ROUNDUP(SUM(K15:K19),0)</f>
        <v>0</v>
      </c>
      <c r="N20" s="428">
        <f>+K20-J20</f>
        <v>-16.024999999999999</v>
      </c>
      <c r="O20" s="500" t="s">
        <v>382</v>
      </c>
      <c r="P20" s="500"/>
    </row>
    <row r="21" spans="1:17" s="117" customFormat="1" x14ac:dyDescent="0.25">
      <c r="A21" s="88"/>
      <c r="B21" s="79"/>
      <c r="C21" s="80"/>
      <c r="D21" s="82"/>
      <c r="E21" s="89"/>
      <c r="F21" s="110"/>
      <c r="G21" s="83"/>
      <c r="H21" s="80"/>
      <c r="I21" s="131" t="s">
        <v>189</v>
      </c>
      <c r="J21" s="113">
        <f>+J20/H15</f>
        <v>0.21366666666666664</v>
      </c>
      <c r="K21" s="112">
        <f>+K20/H15</f>
        <v>0</v>
      </c>
      <c r="N21" s="500"/>
      <c r="O21" s="500"/>
      <c r="P21" s="500"/>
    </row>
    <row r="22" spans="1:17" s="117" customFormat="1" x14ac:dyDescent="0.25">
      <c r="A22" s="88"/>
      <c r="B22" s="79"/>
      <c r="C22" s="80"/>
      <c r="D22" s="82"/>
      <c r="E22" s="109"/>
      <c r="F22" s="81"/>
      <c r="G22" s="83"/>
      <c r="H22" s="80"/>
      <c r="J22" s="111"/>
      <c r="N22" s="500"/>
      <c r="O22" s="500"/>
      <c r="P22" s="500"/>
    </row>
    <row r="23" spans="1:17" s="241" customFormat="1" x14ac:dyDescent="0.25">
      <c r="A23" s="171"/>
      <c r="B23" s="172"/>
      <c r="C23" s="173"/>
      <c r="D23" s="175"/>
      <c r="E23" s="246"/>
      <c r="F23" s="174"/>
      <c r="G23" s="174"/>
      <c r="H23" s="174"/>
      <c r="I23" s="174"/>
      <c r="J23" s="174"/>
      <c r="K23" s="174"/>
      <c r="N23" s="534"/>
      <c r="O23" s="534"/>
      <c r="P23" s="534"/>
    </row>
    <row r="24" spans="1:17" s="161" customFormat="1" x14ac:dyDescent="0.25">
      <c r="A24" s="159"/>
      <c r="B24" s="160"/>
      <c r="D24" s="162"/>
      <c r="E24" s="163"/>
      <c r="H24" s="164"/>
      <c r="J24" s="165"/>
      <c r="K24" s="166"/>
      <c r="N24" s="501"/>
      <c r="O24" s="501"/>
      <c r="P24" s="501"/>
    </row>
    <row r="25" spans="1:17" s="161" customFormat="1" x14ac:dyDescent="0.25">
      <c r="A25" s="159"/>
      <c r="B25" s="160"/>
      <c r="D25" s="162"/>
      <c r="E25" s="163"/>
      <c r="H25" s="164"/>
      <c r="J25" s="165"/>
      <c r="K25" s="166"/>
      <c r="N25" s="501"/>
      <c r="O25" s="501"/>
      <c r="P25" s="501"/>
    </row>
    <row r="26" spans="1:17" s="98" customFormat="1" x14ac:dyDescent="0.25">
      <c r="A26" s="15"/>
      <c r="B26" s="121"/>
      <c r="C26" s="80"/>
      <c r="D26" s="115"/>
      <c r="E26" s="116"/>
      <c r="G26" s="117"/>
      <c r="N26" s="533"/>
      <c r="O26" s="533"/>
      <c r="P26" s="533"/>
      <c r="Q26" s="117"/>
    </row>
    <row r="27" spans="1:17" s="125" customFormat="1" ht="31.5" x14ac:dyDescent="0.25">
      <c r="A27" s="653" t="s">
        <v>266</v>
      </c>
      <c r="B27" s="148" t="s">
        <v>199</v>
      </c>
      <c r="C27" s="149" t="s">
        <v>196</v>
      </c>
      <c r="D27" s="148" t="s">
        <v>197</v>
      </c>
      <c r="E27" s="122" t="s">
        <v>198</v>
      </c>
      <c r="F27" s="150" t="s">
        <v>188</v>
      </c>
      <c r="G27" s="124"/>
      <c r="H27" s="80"/>
      <c r="I27" s="98"/>
      <c r="J27" s="98"/>
      <c r="K27" s="114" t="s">
        <v>144</v>
      </c>
      <c r="L27" s="117"/>
      <c r="M27" s="117"/>
      <c r="N27" s="500"/>
      <c r="O27" s="500"/>
      <c r="P27" s="500"/>
      <c r="Q27" s="124"/>
    </row>
    <row r="28" spans="1:17" s="81" customFormat="1" x14ac:dyDescent="0.25">
      <c r="A28" s="193" t="s">
        <v>300</v>
      </c>
      <c r="B28" s="199" t="s">
        <v>206</v>
      </c>
      <c r="C28" s="192">
        <v>500</v>
      </c>
      <c r="D28" s="199">
        <v>15</v>
      </c>
      <c r="E28" s="145">
        <v>1</v>
      </c>
      <c r="F28" s="146">
        <f>+D28*E28</f>
        <v>15</v>
      </c>
      <c r="G28" s="83"/>
      <c r="H28" s="118">
        <f>ROUNDUP(F32,0)</f>
        <v>15</v>
      </c>
      <c r="I28" s="119" t="s">
        <v>201</v>
      </c>
      <c r="J28" s="87">
        <f>+B6*F32</f>
        <v>2.915</v>
      </c>
      <c r="K28" s="120">
        <f>+F32*G7</f>
        <v>0</v>
      </c>
      <c r="L28" s="117"/>
      <c r="M28" s="117"/>
      <c r="N28" s="500"/>
      <c r="O28" s="500"/>
      <c r="P28" s="500"/>
      <c r="Q28" s="83"/>
    </row>
    <row r="29" spans="1:17" s="81" customFormat="1" x14ac:dyDescent="0.25">
      <c r="A29" s="193"/>
      <c r="B29" s="199"/>
      <c r="C29" s="192"/>
      <c r="D29" s="199"/>
      <c r="E29" s="147"/>
      <c r="F29" s="146"/>
      <c r="G29" s="83"/>
      <c r="H29" s="80">
        <f>E32</f>
        <v>1</v>
      </c>
      <c r="I29" s="62" t="s">
        <v>221</v>
      </c>
      <c r="J29" s="87">
        <f>H29*0.24</f>
        <v>0.24</v>
      </c>
      <c r="K29" s="93"/>
      <c r="L29" s="83"/>
      <c r="M29" s="124"/>
      <c r="N29" s="502"/>
      <c r="O29" s="502"/>
      <c r="P29" s="502"/>
      <c r="Q29" s="83"/>
    </row>
    <row r="30" spans="1:17" s="81" customFormat="1" x14ac:dyDescent="0.25">
      <c r="A30" s="193"/>
      <c r="B30" s="199"/>
      <c r="C30" s="192"/>
      <c r="D30" s="199"/>
      <c r="E30" s="147"/>
      <c r="F30" s="146"/>
      <c r="G30" s="83"/>
      <c r="H30" s="80">
        <f>H29</f>
        <v>1</v>
      </c>
      <c r="I30" s="62" t="s">
        <v>200</v>
      </c>
      <c r="J30" s="87">
        <f>+H30*0.05</f>
        <v>0.05</v>
      </c>
      <c r="K30" s="93"/>
      <c r="L30" s="83"/>
      <c r="M30" s="83"/>
      <c r="N30" s="503"/>
      <c r="O30" s="503"/>
      <c r="P30" s="503"/>
      <c r="Q30" s="83"/>
    </row>
    <row r="31" spans="1:17" s="81" customFormat="1" x14ac:dyDescent="0.25">
      <c r="A31" s="100"/>
      <c r="B31" s="101"/>
      <c r="C31" s="102"/>
      <c r="D31" s="101"/>
      <c r="E31" s="144"/>
      <c r="F31" s="103"/>
      <c r="G31" s="83"/>
      <c r="H31" s="303">
        <v>0</v>
      </c>
      <c r="I31" s="71" t="s">
        <v>192</v>
      </c>
      <c r="J31" s="142">
        <f>H31*3.65</f>
        <v>0</v>
      </c>
      <c r="K31" s="143"/>
      <c r="L31" s="83"/>
      <c r="M31" s="83"/>
      <c r="N31" s="503"/>
      <c r="O31" s="503"/>
      <c r="P31" s="503"/>
      <c r="Q31" s="83"/>
    </row>
    <row r="32" spans="1:17" s="81" customFormat="1" x14ac:dyDescent="0.25">
      <c r="A32" s="88"/>
      <c r="B32" s="79"/>
      <c r="C32" s="80"/>
      <c r="D32" s="82"/>
      <c r="E32" s="194">
        <f>SUM(E28:E31)</f>
        <v>1</v>
      </c>
      <c r="F32" s="127">
        <f>SUM(F28:F31)</f>
        <v>15</v>
      </c>
      <c r="G32" s="83"/>
      <c r="H32" s="80"/>
      <c r="J32" s="128">
        <f>SUM(J28:J31)</f>
        <v>3.2050000000000001</v>
      </c>
      <c r="K32" s="129">
        <v>10</v>
      </c>
      <c r="L32" s="83" t="s">
        <v>234</v>
      </c>
      <c r="M32" s="410"/>
      <c r="N32" s="428">
        <f>+K32-J32</f>
        <v>6.7949999999999999</v>
      </c>
      <c r="O32" s="500" t="s">
        <v>382</v>
      </c>
      <c r="P32" s="503"/>
      <c r="Q32" s="83"/>
    </row>
    <row r="33" spans="1:17" s="81" customFormat="1" x14ac:dyDescent="0.25">
      <c r="A33" s="88"/>
      <c r="B33" s="79"/>
      <c r="C33" s="80"/>
      <c r="D33" s="82"/>
      <c r="E33" s="89"/>
      <c r="F33" s="110"/>
      <c r="G33" s="83"/>
      <c r="H33" s="80"/>
      <c r="I33" s="131" t="s">
        <v>189</v>
      </c>
      <c r="J33" s="113">
        <f>+J32/H28</f>
        <v>0.21366666666666667</v>
      </c>
      <c r="K33" s="112">
        <f>+K32/H28</f>
        <v>0.66666666666666663</v>
      </c>
      <c r="L33" s="83"/>
      <c r="M33" s="410"/>
      <c r="N33" s="503"/>
      <c r="O33" s="503"/>
      <c r="P33" s="503"/>
      <c r="Q33" s="83"/>
    </row>
    <row r="34" spans="1:17" s="81" customFormat="1" x14ac:dyDescent="0.25">
      <c r="A34" s="88"/>
      <c r="B34" s="79"/>
      <c r="C34" s="80"/>
      <c r="D34" s="82"/>
      <c r="E34" s="109"/>
      <c r="G34" s="83"/>
      <c r="M34" s="83"/>
      <c r="N34" s="503"/>
      <c r="O34" s="503"/>
      <c r="P34" s="503"/>
      <c r="Q34" s="83"/>
    </row>
    <row r="35" spans="1:17" s="107" customFormat="1" x14ac:dyDescent="0.25">
      <c r="A35" s="104"/>
      <c r="B35" s="105"/>
      <c r="C35" s="106"/>
      <c r="D35" s="108"/>
      <c r="E35" s="151"/>
      <c r="H35" s="106"/>
      <c r="N35" s="504"/>
      <c r="O35" s="504"/>
      <c r="P35" s="504"/>
    </row>
    <row r="36" spans="1:17" s="98" customFormat="1" x14ac:dyDescent="0.25">
      <c r="A36" s="15"/>
      <c r="B36" s="121"/>
      <c r="C36" s="80"/>
      <c r="D36" s="115"/>
      <c r="E36" s="116"/>
      <c r="G36" s="117"/>
      <c r="N36" s="533"/>
      <c r="O36" s="533"/>
      <c r="P36" s="533"/>
      <c r="Q36" s="117"/>
    </row>
    <row r="37" spans="1:17" s="125" customFormat="1" ht="31.5" x14ac:dyDescent="0.25">
      <c r="A37" s="653" t="s">
        <v>268</v>
      </c>
      <c r="B37" s="148" t="s">
        <v>199</v>
      </c>
      <c r="C37" s="149" t="s">
        <v>196</v>
      </c>
      <c r="D37" s="148" t="s">
        <v>197</v>
      </c>
      <c r="E37" s="122" t="s">
        <v>198</v>
      </c>
      <c r="F37" s="150" t="s">
        <v>188</v>
      </c>
      <c r="G37" s="124"/>
      <c r="H37" s="80"/>
      <c r="I37" s="98"/>
      <c r="J37" s="98"/>
      <c r="K37" s="114" t="s">
        <v>144</v>
      </c>
      <c r="L37" s="117"/>
      <c r="M37" s="117"/>
      <c r="N37" s="500"/>
      <c r="O37" s="500"/>
      <c r="P37" s="500"/>
      <c r="Q37" s="124"/>
    </row>
    <row r="38" spans="1:17" s="81" customFormat="1" x14ac:dyDescent="0.25">
      <c r="A38" s="193" t="s">
        <v>301</v>
      </c>
      <c r="B38" s="199" t="s">
        <v>206</v>
      </c>
      <c r="C38" s="192">
        <v>500</v>
      </c>
      <c r="D38" s="199">
        <v>15</v>
      </c>
      <c r="E38" s="145">
        <v>1</v>
      </c>
      <c r="F38" s="146">
        <f>+D38*E38</f>
        <v>15</v>
      </c>
      <c r="G38" s="83"/>
      <c r="H38" s="118">
        <f>ROUNDUP(F42,0)</f>
        <v>15</v>
      </c>
      <c r="I38" s="119" t="s">
        <v>201</v>
      </c>
      <c r="J38" s="87">
        <f>+B16*F42</f>
        <v>0</v>
      </c>
      <c r="K38" s="120">
        <f>+F42*G17</f>
        <v>0</v>
      </c>
      <c r="L38" s="117"/>
      <c r="M38" s="117"/>
      <c r="N38" s="500"/>
      <c r="O38" s="500"/>
      <c r="P38" s="500"/>
      <c r="Q38" s="83"/>
    </row>
    <row r="39" spans="1:17" s="81" customFormat="1" x14ac:dyDescent="0.25">
      <c r="A39" s="78"/>
      <c r="B39" s="199"/>
      <c r="C39" s="192"/>
      <c r="D39" s="199"/>
      <c r="E39" s="147"/>
      <c r="F39" s="146"/>
      <c r="G39" s="83"/>
      <c r="H39" s="80">
        <f>E42</f>
        <v>1</v>
      </c>
      <c r="I39" s="62" t="s">
        <v>221</v>
      </c>
      <c r="J39" s="87">
        <f>H39*0.24</f>
        <v>0.24</v>
      </c>
      <c r="K39" s="93"/>
      <c r="L39" s="83"/>
      <c r="M39" s="124"/>
      <c r="N39" s="502"/>
      <c r="O39" s="502"/>
      <c r="P39" s="502"/>
      <c r="Q39" s="83"/>
    </row>
    <row r="40" spans="1:17" s="81" customFormat="1" x14ac:dyDescent="0.25">
      <c r="A40" s="78"/>
      <c r="B40" s="199"/>
      <c r="C40" s="192"/>
      <c r="D40" s="199"/>
      <c r="E40" s="147"/>
      <c r="F40" s="146"/>
      <c r="G40" s="83"/>
      <c r="H40" s="80">
        <f>H39</f>
        <v>1</v>
      </c>
      <c r="I40" s="62" t="s">
        <v>200</v>
      </c>
      <c r="J40" s="87">
        <f>+H40*0.05</f>
        <v>0.05</v>
      </c>
      <c r="K40" s="93"/>
      <c r="L40" s="83"/>
      <c r="M40" s="83"/>
      <c r="N40" s="503"/>
      <c r="O40" s="503"/>
      <c r="P40" s="503"/>
      <c r="Q40" s="83"/>
    </row>
    <row r="41" spans="1:17" s="81" customFormat="1" x14ac:dyDescent="0.25">
      <c r="A41" s="100"/>
      <c r="B41" s="101"/>
      <c r="C41" s="102"/>
      <c r="D41" s="101"/>
      <c r="E41" s="144"/>
      <c r="F41" s="103"/>
      <c r="G41" s="83"/>
      <c r="H41" s="303">
        <v>0</v>
      </c>
      <c r="I41" s="71" t="s">
        <v>192</v>
      </c>
      <c r="J41" s="142">
        <f>H41*3.65</f>
        <v>0</v>
      </c>
      <c r="K41" s="143"/>
      <c r="L41" s="83"/>
      <c r="M41" s="83"/>
      <c r="N41" s="503"/>
      <c r="O41" s="503"/>
      <c r="P41" s="503"/>
      <c r="Q41" s="83"/>
    </row>
    <row r="42" spans="1:17" s="81" customFormat="1" x14ac:dyDescent="0.25">
      <c r="A42" s="88"/>
      <c r="B42" s="79"/>
      <c r="C42" s="80"/>
      <c r="D42" s="82"/>
      <c r="E42" s="194">
        <f>SUM(E38:E41)</f>
        <v>1</v>
      </c>
      <c r="F42" s="127">
        <f>SUM(F38:F41)</f>
        <v>15</v>
      </c>
      <c r="G42" s="83"/>
      <c r="H42" s="80"/>
      <c r="J42" s="128">
        <f>SUM(J38:J41)</f>
        <v>0.28999999999999998</v>
      </c>
      <c r="K42" s="129">
        <v>10</v>
      </c>
      <c r="L42" s="83" t="s">
        <v>234</v>
      </c>
      <c r="M42" s="410"/>
      <c r="N42" s="428">
        <f>+K42-J42</f>
        <v>9.7100000000000009</v>
      </c>
      <c r="O42" s="500" t="s">
        <v>382</v>
      </c>
      <c r="P42" s="503"/>
      <c r="Q42" s="83"/>
    </row>
    <row r="43" spans="1:17" s="81" customFormat="1" x14ac:dyDescent="0.25">
      <c r="A43" s="88"/>
      <c r="B43" s="79"/>
      <c r="C43" s="80"/>
      <c r="D43" s="82"/>
      <c r="E43" s="89"/>
      <c r="F43" s="110"/>
      <c r="G43" s="83"/>
      <c r="H43" s="80"/>
      <c r="I43" s="131" t="s">
        <v>189</v>
      </c>
      <c r="J43" s="113">
        <f>+J42/H38</f>
        <v>1.9333333333333331E-2</v>
      </c>
      <c r="K43" s="112">
        <f>+K42/H38</f>
        <v>0.66666666666666663</v>
      </c>
      <c r="L43" s="83"/>
      <c r="M43" s="410"/>
      <c r="N43" s="503"/>
      <c r="O43" s="503"/>
      <c r="P43" s="503"/>
      <c r="Q43" s="83"/>
    </row>
    <row r="44" spans="1:17" s="81" customFormat="1" x14ac:dyDescent="0.25">
      <c r="A44" s="88"/>
      <c r="B44" s="79"/>
      <c r="C44" s="80"/>
      <c r="D44" s="82"/>
      <c r="E44" s="109"/>
      <c r="G44" s="83"/>
      <c r="M44" s="83"/>
      <c r="N44" s="503"/>
      <c r="O44" s="503"/>
      <c r="P44" s="503"/>
      <c r="Q44" s="83"/>
    </row>
    <row r="45" spans="1:17" s="107" customFormat="1" x14ac:dyDescent="0.25">
      <c r="A45" s="104"/>
      <c r="B45" s="105"/>
      <c r="C45" s="106"/>
      <c r="D45" s="108"/>
      <c r="E45" s="151"/>
      <c r="H45" s="106"/>
      <c r="N45" s="504"/>
      <c r="O45" s="504"/>
      <c r="P45" s="504"/>
    </row>
    <row r="46" spans="1:17" s="98" customFormat="1" x14ac:dyDescent="0.25">
      <c r="A46" s="15"/>
      <c r="B46" s="121"/>
      <c r="C46" s="80"/>
      <c r="D46" s="115"/>
      <c r="E46" s="116"/>
      <c r="G46" s="117"/>
      <c r="N46" s="533"/>
      <c r="O46" s="533"/>
      <c r="P46" s="533"/>
      <c r="Q46" s="117"/>
    </row>
    <row r="47" spans="1:17" s="125" customFormat="1" ht="31.5" x14ac:dyDescent="0.25">
      <c r="A47" s="653" t="s">
        <v>269</v>
      </c>
      <c r="B47" s="148" t="s">
        <v>199</v>
      </c>
      <c r="C47" s="149" t="s">
        <v>196</v>
      </c>
      <c r="D47" s="148" t="s">
        <v>197</v>
      </c>
      <c r="E47" s="122" t="s">
        <v>198</v>
      </c>
      <c r="F47" s="150" t="s">
        <v>188</v>
      </c>
      <c r="G47" s="124"/>
      <c r="H47" s="80"/>
      <c r="I47" s="98"/>
      <c r="J47" s="98"/>
      <c r="K47" s="114" t="s">
        <v>144</v>
      </c>
      <c r="L47" s="117"/>
      <c r="M47" s="117"/>
      <c r="N47" s="500"/>
      <c r="O47" s="500"/>
      <c r="P47" s="500"/>
      <c r="Q47" s="124"/>
    </row>
    <row r="48" spans="1:17" s="81" customFormat="1" x14ac:dyDescent="0.25">
      <c r="A48" s="193" t="s">
        <v>106</v>
      </c>
      <c r="B48" s="199" t="s">
        <v>206</v>
      </c>
      <c r="C48" s="192">
        <v>1000</v>
      </c>
      <c r="D48" s="199">
        <v>30</v>
      </c>
      <c r="E48" s="145">
        <f>IF(B48="Daily",7, IF(B48="Weekly",1, IF(B48="Every Other Day",4,"")))</f>
        <v>1</v>
      </c>
      <c r="F48" s="146">
        <f>+D48*E48</f>
        <v>30</v>
      </c>
      <c r="G48" s="83"/>
      <c r="H48" s="118">
        <f>ROUNDUP(F52,0)</f>
        <v>30</v>
      </c>
      <c r="I48" s="119" t="s">
        <v>201</v>
      </c>
      <c r="J48" s="87">
        <f>+B6*F52</f>
        <v>5.83</v>
      </c>
      <c r="K48" s="120">
        <f>+F52*G7</f>
        <v>0</v>
      </c>
      <c r="L48" s="117"/>
      <c r="M48" s="117"/>
      <c r="N48" s="500"/>
      <c r="O48" s="500"/>
      <c r="P48" s="500"/>
      <c r="Q48" s="83"/>
    </row>
    <row r="49" spans="1:17" s="81" customFormat="1" x14ac:dyDescent="0.25">
      <c r="A49" s="78"/>
      <c r="B49" s="199"/>
      <c r="C49" s="192"/>
      <c r="D49" s="199"/>
      <c r="E49" s="147"/>
      <c r="F49" s="146"/>
      <c r="G49" s="83"/>
      <c r="H49" s="80">
        <f>E52</f>
        <v>1</v>
      </c>
      <c r="I49" s="62" t="s">
        <v>221</v>
      </c>
      <c r="J49" s="87">
        <f>H49*0.24</f>
        <v>0.24</v>
      </c>
      <c r="K49" s="93"/>
      <c r="L49" s="124"/>
      <c r="M49" s="124"/>
      <c r="N49" s="502"/>
      <c r="O49" s="502"/>
      <c r="P49" s="502"/>
      <c r="Q49" s="83"/>
    </row>
    <row r="50" spans="1:17" s="81" customFormat="1" x14ac:dyDescent="0.25">
      <c r="A50" s="78"/>
      <c r="B50" s="199"/>
      <c r="C50" s="192"/>
      <c r="D50" s="199"/>
      <c r="E50" s="147"/>
      <c r="F50" s="146"/>
      <c r="G50" s="83"/>
      <c r="H50" s="80">
        <f>E52</f>
        <v>1</v>
      </c>
      <c r="I50" s="62" t="s">
        <v>200</v>
      </c>
      <c r="J50" s="87">
        <f>+H50*0.05</f>
        <v>0.05</v>
      </c>
      <c r="K50" s="93"/>
      <c r="L50" s="83"/>
      <c r="M50" s="83"/>
      <c r="N50" s="503"/>
      <c r="O50" s="503"/>
      <c r="P50" s="503"/>
      <c r="Q50" s="83"/>
    </row>
    <row r="51" spans="1:17" s="81" customFormat="1" x14ac:dyDescent="0.25">
      <c r="A51" s="100"/>
      <c r="B51" s="101"/>
      <c r="C51" s="102"/>
      <c r="D51" s="101"/>
      <c r="E51" s="144"/>
      <c r="F51" s="103"/>
      <c r="G51" s="83"/>
      <c r="H51" s="303">
        <v>0</v>
      </c>
      <c r="I51" s="71" t="s">
        <v>192</v>
      </c>
      <c r="J51" s="142">
        <f>H51*3.65</f>
        <v>0</v>
      </c>
      <c r="K51" s="143"/>
      <c r="L51" s="83"/>
      <c r="M51" s="83"/>
      <c r="N51" s="503"/>
      <c r="O51" s="503"/>
      <c r="P51" s="503"/>
      <c r="Q51" s="83"/>
    </row>
    <row r="52" spans="1:17" s="81" customFormat="1" x14ac:dyDescent="0.25">
      <c r="A52" s="88"/>
      <c r="B52" s="79"/>
      <c r="C52" s="80"/>
      <c r="D52" s="82"/>
      <c r="E52" s="194">
        <f>SUM(E48:E51)</f>
        <v>1</v>
      </c>
      <c r="F52" s="127">
        <f>SUM(F48:F51)</f>
        <v>30</v>
      </c>
      <c r="G52" s="83"/>
      <c r="H52" s="80"/>
      <c r="J52" s="128">
        <f>SUM(J48:J51)</f>
        <v>6.12</v>
      </c>
      <c r="K52" s="129">
        <f>K32*2</f>
        <v>20</v>
      </c>
      <c r="L52" s="83" t="s">
        <v>234</v>
      </c>
      <c r="M52" s="410"/>
      <c r="N52" s="428">
        <f>+K52-J52</f>
        <v>13.879999999999999</v>
      </c>
      <c r="O52" s="500" t="s">
        <v>382</v>
      </c>
      <c r="P52" s="503"/>
      <c r="Q52" s="83"/>
    </row>
    <row r="53" spans="1:17" s="81" customFormat="1" x14ac:dyDescent="0.25">
      <c r="A53" s="88"/>
      <c r="B53" s="79"/>
      <c r="C53" s="80"/>
      <c r="D53" s="82"/>
      <c r="E53" s="89"/>
      <c r="F53" s="110"/>
      <c r="G53" s="83"/>
      <c r="H53" s="80"/>
      <c r="I53" s="131" t="s">
        <v>189</v>
      </c>
      <c r="J53" s="113">
        <f>+J52/H48</f>
        <v>0.20400000000000001</v>
      </c>
      <c r="K53" s="112">
        <f>+K52/H48</f>
        <v>0.66666666666666663</v>
      </c>
      <c r="L53" s="83"/>
      <c r="M53" s="83"/>
      <c r="N53" s="503"/>
      <c r="O53" s="503"/>
      <c r="P53" s="503"/>
      <c r="Q53" s="83"/>
    </row>
    <row r="54" spans="1:17" s="81" customFormat="1" x14ac:dyDescent="0.25">
      <c r="A54" s="88"/>
      <c r="B54" s="79"/>
      <c r="C54" s="80"/>
      <c r="D54" s="82"/>
      <c r="E54" s="109"/>
      <c r="G54" s="83"/>
      <c r="H54" s="80"/>
      <c r="L54" s="83"/>
      <c r="M54" s="83"/>
      <c r="N54" s="503"/>
      <c r="O54" s="503"/>
      <c r="P54" s="503"/>
      <c r="Q54" s="83"/>
    </row>
    <row r="55" spans="1:17" s="107" customFormat="1" x14ac:dyDescent="0.25">
      <c r="A55" s="104"/>
      <c r="B55" s="105"/>
      <c r="C55" s="106"/>
      <c r="D55" s="108"/>
      <c r="E55" s="151"/>
      <c r="H55" s="106"/>
      <c r="N55" s="504"/>
      <c r="O55" s="504"/>
      <c r="P55" s="504"/>
    </row>
    <row r="56" spans="1:17" s="98" customFormat="1" x14ac:dyDescent="0.25">
      <c r="A56" s="15"/>
      <c r="B56" s="87"/>
      <c r="C56" s="80"/>
      <c r="D56" s="115"/>
      <c r="E56" s="116"/>
      <c r="G56" s="117"/>
      <c r="H56" s="80"/>
      <c r="J56" s="152"/>
      <c r="K56" s="153"/>
      <c r="L56" s="117"/>
      <c r="M56" s="117"/>
      <c r="N56" s="500"/>
      <c r="O56" s="500"/>
      <c r="P56" s="500"/>
      <c r="Q56" s="117"/>
    </row>
    <row r="57" spans="1:17" s="98" customFormat="1" x14ac:dyDescent="0.25">
      <c r="A57" s="15"/>
      <c r="B57" s="87"/>
      <c r="C57" s="80"/>
      <c r="D57" s="115"/>
      <c r="E57" s="116"/>
      <c r="G57" s="117"/>
      <c r="N57" s="533"/>
      <c r="O57" s="533"/>
      <c r="P57" s="533"/>
      <c r="Q57" s="117"/>
    </row>
    <row r="58" spans="1:17" s="98" customFormat="1" x14ac:dyDescent="0.25">
      <c r="A58" s="15"/>
      <c r="B58" s="121"/>
      <c r="C58" s="80"/>
      <c r="D58" s="115"/>
      <c r="E58" s="116"/>
      <c r="G58" s="117"/>
      <c r="N58" s="533"/>
      <c r="O58" s="533"/>
      <c r="P58" s="533"/>
      <c r="Q58" s="117"/>
    </row>
    <row r="59" spans="1:17" s="125" customFormat="1" ht="31.5" x14ac:dyDescent="0.25">
      <c r="A59" s="653" t="s">
        <v>215</v>
      </c>
      <c r="B59" s="148" t="s">
        <v>199</v>
      </c>
      <c r="C59" s="149" t="s">
        <v>196</v>
      </c>
      <c r="D59" s="148" t="s">
        <v>197</v>
      </c>
      <c r="E59" s="122" t="s">
        <v>198</v>
      </c>
      <c r="F59" s="150" t="s">
        <v>188</v>
      </c>
      <c r="G59" s="124"/>
      <c r="H59" s="80"/>
      <c r="I59" s="98"/>
      <c r="J59" s="98"/>
      <c r="K59" s="114" t="s">
        <v>144</v>
      </c>
      <c r="L59" s="117"/>
      <c r="M59" s="117"/>
      <c r="N59" s="500"/>
      <c r="O59" s="500"/>
      <c r="P59" s="500"/>
      <c r="Q59" s="124"/>
    </row>
    <row r="60" spans="1:17" s="81" customFormat="1" x14ac:dyDescent="0.25">
      <c r="A60" s="193" t="s">
        <v>195</v>
      </c>
      <c r="B60" s="199" t="s">
        <v>206</v>
      </c>
      <c r="C60" s="192">
        <v>1500</v>
      </c>
      <c r="D60" s="199">
        <v>45</v>
      </c>
      <c r="E60" s="145">
        <f>IF(B60="Daily",7, IF(B60="Weekly",1, IF(B60="Every Other Day",4,"")))</f>
        <v>1</v>
      </c>
      <c r="F60" s="146">
        <f>+D60*E60</f>
        <v>45</v>
      </c>
      <c r="G60" s="83"/>
      <c r="H60" s="118">
        <f>ROUNDUP(F64,0)</f>
        <v>45</v>
      </c>
      <c r="I60" s="119" t="s">
        <v>201</v>
      </c>
      <c r="J60" s="87">
        <f>+B6*F64</f>
        <v>8.7449999999999992</v>
      </c>
      <c r="K60" s="120">
        <f>+F64*G7</f>
        <v>0</v>
      </c>
      <c r="L60" s="117"/>
      <c r="M60" s="117"/>
      <c r="N60" s="500"/>
      <c r="O60" s="500"/>
      <c r="P60" s="500"/>
      <c r="Q60" s="83"/>
    </row>
    <row r="61" spans="1:17" s="81" customFormat="1" x14ac:dyDescent="0.25">
      <c r="A61" s="78"/>
      <c r="B61" s="199"/>
      <c r="C61" s="192"/>
      <c r="D61" s="199"/>
      <c r="E61" s="147"/>
      <c r="F61" s="146"/>
      <c r="G61" s="83"/>
      <c r="H61" s="80">
        <f>ROUNDUP(F65,0)</f>
        <v>1</v>
      </c>
      <c r="I61" s="62" t="s">
        <v>221</v>
      </c>
      <c r="J61" s="87">
        <f>+H61*0.24</f>
        <v>0.24</v>
      </c>
      <c r="K61" s="93">
        <v>2</v>
      </c>
      <c r="L61" s="124"/>
      <c r="M61" s="124"/>
      <c r="N61" s="502"/>
      <c r="O61" s="502"/>
      <c r="P61" s="502"/>
      <c r="Q61" s="83"/>
    </row>
    <row r="62" spans="1:17" s="81" customFormat="1" x14ac:dyDescent="0.25">
      <c r="A62" s="78"/>
      <c r="B62" s="199"/>
      <c r="C62" s="192"/>
      <c r="D62" s="199"/>
      <c r="E62" s="147"/>
      <c r="F62" s="146"/>
      <c r="G62" s="83"/>
      <c r="H62" s="80">
        <f>E64</f>
        <v>1</v>
      </c>
      <c r="I62" s="62" t="s">
        <v>200</v>
      </c>
      <c r="J62" s="87">
        <f>H62*0.05</f>
        <v>0.05</v>
      </c>
      <c r="K62" s="93"/>
      <c r="L62" s="83"/>
      <c r="M62" s="83"/>
      <c r="N62" s="503"/>
      <c r="O62" s="503"/>
      <c r="P62" s="503"/>
      <c r="Q62" s="83"/>
    </row>
    <row r="63" spans="1:17" s="81" customFormat="1" x14ac:dyDescent="0.25">
      <c r="A63" s="100"/>
      <c r="B63" s="101"/>
      <c r="C63" s="102"/>
      <c r="D63" s="101"/>
      <c r="E63" s="144"/>
      <c r="F63" s="103"/>
      <c r="G63" s="83"/>
      <c r="H63" s="303">
        <v>0</v>
      </c>
      <c r="I63" s="71" t="s">
        <v>192</v>
      </c>
      <c r="J63" s="142">
        <f>H63*3.65</f>
        <v>0</v>
      </c>
      <c r="K63" s="143"/>
      <c r="L63" s="83"/>
      <c r="M63" s="83"/>
      <c r="N63" s="503"/>
      <c r="O63" s="503"/>
      <c r="P63" s="503"/>
      <c r="Q63" s="83"/>
    </row>
    <row r="64" spans="1:17" s="81" customFormat="1" x14ac:dyDescent="0.25">
      <c r="A64" s="88"/>
      <c r="B64" s="79"/>
      <c r="C64" s="80"/>
      <c r="D64" s="82"/>
      <c r="E64" s="194">
        <f>SUM(E60:E63)</f>
        <v>1</v>
      </c>
      <c r="F64" s="127">
        <f>SUM(F60:F63)</f>
        <v>45</v>
      </c>
      <c r="G64" s="83"/>
      <c r="H64" s="80"/>
      <c r="J64" s="128">
        <f>SUM(J60:J63)</f>
        <v>9.0350000000000001</v>
      </c>
      <c r="K64" s="129">
        <f>K32*3</f>
        <v>30</v>
      </c>
      <c r="L64" s="83" t="s">
        <v>234</v>
      </c>
      <c r="M64" s="410"/>
      <c r="N64" s="428">
        <f>+K64-J64</f>
        <v>20.965</v>
      </c>
      <c r="O64" s="500" t="s">
        <v>382</v>
      </c>
      <c r="P64" s="503"/>
      <c r="Q64" s="83"/>
    </row>
    <row r="65" spans="1:18" s="81" customFormat="1" x14ac:dyDescent="0.25">
      <c r="A65" s="88"/>
      <c r="B65" s="79"/>
      <c r="C65" s="80"/>
      <c r="D65" s="82"/>
      <c r="E65" s="89" t="s">
        <v>204</v>
      </c>
      <c r="F65" s="110">
        <f>+F64/300</f>
        <v>0.15</v>
      </c>
      <c r="G65" s="83"/>
      <c r="H65" s="80"/>
      <c r="I65" s="131" t="s">
        <v>189</v>
      </c>
      <c r="J65" s="113">
        <f>+J64/H60</f>
        <v>0.20077777777777778</v>
      </c>
      <c r="K65" s="112">
        <f>+K64/H60</f>
        <v>0.66666666666666663</v>
      </c>
      <c r="L65" s="83"/>
      <c r="M65" s="83"/>
      <c r="N65" s="503"/>
      <c r="O65" s="503"/>
      <c r="P65" s="503"/>
      <c r="Q65" s="83"/>
    </row>
    <row r="66" spans="1:18" s="81" customFormat="1" x14ac:dyDescent="0.25">
      <c r="A66" s="88"/>
      <c r="B66" s="79"/>
      <c r="C66" s="80"/>
      <c r="E66" s="82"/>
      <c r="F66" s="109"/>
      <c r="H66" s="83"/>
      <c r="M66" s="83"/>
      <c r="N66" s="83"/>
      <c r="O66" s="83"/>
      <c r="P66" s="83"/>
      <c r="Q66" s="83"/>
      <c r="R66" s="83"/>
    </row>
    <row r="67" spans="1:18" s="135" customFormat="1" x14ac:dyDescent="0.25">
      <c r="A67" s="132"/>
      <c r="B67" s="133"/>
      <c r="C67" s="134"/>
      <c r="E67" s="136"/>
      <c r="F67" s="137"/>
      <c r="I67" s="134"/>
      <c r="J67" s="138"/>
      <c r="K67" s="139"/>
      <c r="L67" s="140"/>
    </row>
    <row r="68" spans="1:18" s="81" customFormat="1" x14ac:dyDescent="0.25">
      <c r="A68" s="88"/>
      <c r="B68" s="79"/>
      <c r="C68" s="80"/>
      <c r="E68" s="82"/>
      <c r="F68" s="109"/>
      <c r="H68" s="83"/>
      <c r="I68" s="80"/>
      <c r="J68" s="110"/>
      <c r="K68" s="111"/>
      <c r="L68" s="112"/>
      <c r="M68" s="83"/>
      <c r="N68" s="83"/>
      <c r="O68" s="83"/>
      <c r="P68" s="83"/>
      <c r="Q68" s="83"/>
      <c r="R68" s="83"/>
    </row>
    <row r="69" spans="1:18" s="81" customFormat="1" x14ac:dyDescent="0.25">
      <c r="A69" s="654" t="s">
        <v>455</v>
      </c>
      <c r="B69" s="79" t="s">
        <v>216</v>
      </c>
      <c r="C69" s="80"/>
      <c r="E69" s="82"/>
      <c r="F69" s="109"/>
      <c r="H69" s="83"/>
      <c r="I69" s="80"/>
      <c r="J69" s="110"/>
      <c r="K69" s="111"/>
      <c r="L69" s="112"/>
      <c r="M69" s="83"/>
      <c r="N69" s="83"/>
      <c r="O69" s="83"/>
      <c r="P69" s="83"/>
      <c r="Q69" s="83"/>
      <c r="R69" s="83"/>
    </row>
    <row r="70" spans="1:18" s="81" customFormat="1" x14ac:dyDescent="0.25">
      <c r="A70" s="13" t="s">
        <v>195</v>
      </c>
      <c r="B70" s="79"/>
      <c r="C70" s="80"/>
      <c r="E70" s="82"/>
      <c r="F70" s="109"/>
      <c r="H70" s="83"/>
      <c r="I70" s="80"/>
      <c r="J70" s="110"/>
      <c r="K70" s="111"/>
      <c r="L70" s="112"/>
      <c r="M70" s="83"/>
      <c r="N70" s="83"/>
      <c r="O70" s="83"/>
      <c r="P70" s="83"/>
      <c r="Q70" s="83"/>
      <c r="R70" s="83"/>
    </row>
    <row r="71" spans="1:18" s="81" customFormat="1" x14ac:dyDescent="0.25">
      <c r="A71" s="88"/>
      <c r="B71" s="79"/>
      <c r="C71" s="80"/>
      <c r="E71" s="82"/>
      <c r="F71" s="109"/>
      <c r="H71" s="83"/>
      <c r="I71" s="80"/>
      <c r="J71" s="110"/>
      <c r="K71" s="111"/>
      <c r="L71" s="112"/>
      <c r="M71" s="83"/>
      <c r="N71" s="83"/>
      <c r="O71" s="83"/>
      <c r="P71" s="83"/>
      <c r="Q71" s="83"/>
      <c r="R71" s="83"/>
    </row>
    <row r="72" spans="1:18" s="81" customFormat="1" x14ac:dyDescent="0.25">
      <c r="A72" s="88"/>
      <c r="B72" s="79"/>
      <c r="C72" s="80"/>
      <c r="E72" s="82"/>
      <c r="F72" s="109"/>
      <c r="H72" s="83"/>
      <c r="I72" s="80"/>
      <c r="J72" s="110"/>
      <c r="K72" s="111"/>
      <c r="L72" s="112"/>
      <c r="M72" s="83"/>
      <c r="N72" s="83"/>
      <c r="O72" s="83"/>
      <c r="P72" s="83"/>
      <c r="Q72" s="83"/>
      <c r="R72" s="83"/>
    </row>
    <row r="73" spans="1:18" s="81" customFormat="1" x14ac:dyDescent="0.25">
      <c r="A73" s="88"/>
      <c r="B73" s="79"/>
      <c r="C73" s="80"/>
      <c r="E73" s="82"/>
      <c r="F73" s="109"/>
      <c r="H73" s="83"/>
      <c r="I73" s="80"/>
      <c r="J73" s="110"/>
      <c r="K73" s="111"/>
      <c r="L73" s="112"/>
      <c r="M73" s="83"/>
      <c r="N73" s="83"/>
      <c r="O73" s="83"/>
      <c r="P73" s="83"/>
      <c r="Q73" s="83"/>
      <c r="R73" s="83"/>
    </row>
  </sheetData>
  <dataValidations count="1">
    <dataValidation type="list" allowBlank="1" showInputMessage="1" showErrorMessage="1" sqref="B28:B31 B60:B63 B48:B51 B38:B41" xr:uid="{155B9FAF-F8B3-46EA-86FB-B32EEA4D483F}">
      <formula1>$N$1:$N$3</formula1>
    </dataValidation>
  </dataValidations>
  <pageMargins left="0.7" right="0.7" top="0.75" bottom="0.75" header="0.3" footer="0.3"/>
  <pageSetup scale="43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02091-4DB4-4714-A514-0EC3B518227F}">
  <sheetPr codeName="Sheet20">
    <pageSetUpPr fitToPage="1"/>
  </sheetPr>
  <dimension ref="A1:S96"/>
  <sheetViews>
    <sheetView topLeftCell="A49" workbookViewId="0">
      <selection activeCell="A63" sqref="A63"/>
    </sheetView>
  </sheetViews>
  <sheetFormatPr defaultColWidth="10.625" defaultRowHeight="15.75" x14ac:dyDescent="0.25"/>
  <cols>
    <col min="5" max="5" width="10.625" style="67"/>
    <col min="6" max="6" width="23.375" customWidth="1"/>
    <col min="7" max="7" width="10.625" style="95"/>
    <col min="8" max="8" width="8.625" style="13" bestFit="1" customWidth="1"/>
    <col min="9" max="9" width="10.625" style="96"/>
    <col min="12" max="12" width="10.625" style="62"/>
  </cols>
  <sheetData>
    <row r="1" spans="1:19" ht="30.75" customHeight="1" x14ac:dyDescent="0.55000000000000004">
      <c r="A1" s="234" t="s">
        <v>39</v>
      </c>
      <c r="B1" s="236"/>
      <c r="C1" s="236"/>
      <c r="D1" s="236"/>
      <c r="E1" s="567"/>
      <c r="F1" s="568"/>
      <c r="G1" s="569"/>
      <c r="H1" s="570"/>
      <c r="I1" s="571"/>
      <c r="J1" s="287"/>
      <c r="K1" s="287"/>
      <c r="L1" s="117"/>
      <c r="O1" s="389" t="s">
        <v>203</v>
      </c>
    </row>
    <row r="2" spans="1:19" s="98" customFormat="1" x14ac:dyDescent="0.25">
      <c r="B2" s="87">
        <f>'Pep Costs'!B51</f>
        <v>75</v>
      </c>
      <c r="C2" s="98" t="s">
        <v>142</v>
      </c>
      <c r="E2" s="464"/>
      <c r="F2" s="464"/>
      <c r="G2" s="464"/>
      <c r="H2" s="464"/>
      <c r="I2" s="464"/>
      <c r="J2" s="429"/>
      <c r="K2" s="430"/>
      <c r="L2" s="431"/>
      <c r="M2" s="117"/>
      <c r="O2" s="490" t="s">
        <v>187</v>
      </c>
      <c r="P2" s="117"/>
      <c r="Q2" s="117"/>
      <c r="R2" s="117"/>
      <c r="S2" s="117"/>
    </row>
    <row r="3" spans="1:19" s="98" customFormat="1" x14ac:dyDescent="0.25">
      <c r="B3" s="170">
        <v>3.3</v>
      </c>
      <c r="C3" s="198" t="s">
        <v>185</v>
      </c>
      <c r="E3" s="464"/>
      <c r="F3" s="464"/>
      <c r="G3" s="464"/>
      <c r="H3" s="464"/>
      <c r="I3" s="464"/>
      <c r="J3" s="117"/>
      <c r="K3" s="117"/>
      <c r="L3" s="152"/>
      <c r="M3" s="117"/>
      <c r="O3" s="490" t="s">
        <v>206</v>
      </c>
      <c r="P3" s="117"/>
      <c r="Q3" s="117"/>
      <c r="R3" s="117"/>
      <c r="S3" s="117"/>
    </row>
    <row r="4" spans="1:19" s="98" customFormat="1" ht="28.5" x14ac:dyDescent="0.55000000000000004">
      <c r="B4" s="142">
        <v>15</v>
      </c>
      <c r="C4" s="156" t="s">
        <v>229</v>
      </c>
      <c r="E4" s="465"/>
      <c r="F4" s="573" t="s">
        <v>349</v>
      </c>
      <c r="G4" s="470" t="s">
        <v>144</v>
      </c>
      <c r="H4" s="464"/>
      <c r="I4" s="464"/>
      <c r="J4" s="158"/>
      <c r="K4" s="117"/>
      <c r="L4" s="152"/>
      <c r="M4" s="117"/>
      <c r="O4" s="157"/>
      <c r="P4" s="117"/>
      <c r="Q4" s="117"/>
      <c r="R4" s="117"/>
      <c r="S4" s="117"/>
    </row>
    <row r="5" spans="1:19" s="98" customFormat="1" ht="26.25" x14ac:dyDescent="0.4">
      <c r="A5" s="15"/>
      <c r="B5" s="87">
        <f>SUM(B2:B4)</f>
        <v>93.3</v>
      </c>
      <c r="E5" s="465"/>
      <c r="F5" s="574">
        <v>40</v>
      </c>
      <c r="G5" s="469">
        <f>+F5+B5</f>
        <v>133.30000000000001</v>
      </c>
      <c r="H5" s="464"/>
      <c r="I5" s="464"/>
      <c r="J5" s="158"/>
      <c r="K5" s="117"/>
      <c r="L5" s="152"/>
      <c r="M5" s="117"/>
      <c r="P5" s="117"/>
      <c r="Q5" s="117"/>
      <c r="R5" s="117"/>
      <c r="S5" s="117"/>
    </row>
    <row r="6" spans="1:19" x14ac:dyDescent="0.25">
      <c r="E6" s="567"/>
      <c r="F6" s="567"/>
      <c r="G6" s="572"/>
      <c r="H6" s="569"/>
      <c r="I6" s="570"/>
      <c r="J6" s="96"/>
      <c r="L6"/>
      <c r="M6" s="62"/>
    </row>
    <row r="7" spans="1:19" s="98" customFormat="1" x14ac:dyDescent="0.25">
      <c r="A7" s="62" t="s">
        <v>189</v>
      </c>
      <c r="B7" s="87">
        <f>+B5/300</f>
        <v>0.311</v>
      </c>
      <c r="E7" s="464"/>
      <c r="F7" s="467" t="s">
        <v>189</v>
      </c>
      <c r="G7" s="468">
        <f>+G5/300</f>
        <v>0.44433333333333336</v>
      </c>
      <c r="H7" s="496"/>
      <c r="I7" s="464"/>
      <c r="J7" s="158"/>
      <c r="K7" s="117"/>
      <c r="L7" s="152"/>
      <c r="M7" s="153"/>
      <c r="N7" s="117"/>
      <c r="O7" s="117"/>
      <c r="P7" s="117"/>
      <c r="Q7" s="117"/>
      <c r="R7" s="117"/>
      <c r="S7" s="117"/>
    </row>
    <row r="8" spans="1:19" s="117" customFormat="1" x14ac:dyDescent="0.25">
      <c r="A8" s="62"/>
      <c r="B8" s="128"/>
      <c r="E8" s="467"/>
      <c r="F8" s="466"/>
      <c r="G8" s="496"/>
      <c r="H8" s="464"/>
      <c r="I8" s="571"/>
      <c r="K8" s="152"/>
      <c r="L8" s="153"/>
    </row>
    <row r="9" spans="1:19" s="161" customFormat="1" x14ac:dyDescent="0.25">
      <c r="A9" s="141"/>
      <c r="B9" s="160"/>
      <c r="D9" s="307"/>
      <c r="E9" s="238"/>
      <c r="F9" s="239"/>
      <c r="H9" s="164"/>
      <c r="J9" s="165"/>
      <c r="K9" s="166"/>
    </row>
    <row r="10" spans="1:19" s="161" customFormat="1" x14ac:dyDescent="0.25">
      <c r="A10" s="141"/>
      <c r="B10" s="160"/>
      <c r="D10" s="307"/>
      <c r="E10" s="238"/>
      <c r="F10" s="239"/>
      <c r="H10" s="164"/>
      <c r="J10" s="165"/>
      <c r="K10" s="166"/>
    </row>
    <row r="11" spans="1:19" s="241" customFormat="1" x14ac:dyDescent="0.25">
      <c r="A11" s="186"/>
      <c r="B11" s="240"/>
      <c r="D11" s="308"/>
      <c r="E11" s="242"/>
      <c r="F11" s="243"/>
      <c r="H11" s="173"/>
      <c r="J11" s="244"/>
      <c r="K11" s="245"/>
    </row>
    <row r="12" spans="1:19" s="98" customFormat="1" x14ac:dyDescent="0.25">
      <c r="A12" s="15"/>
      <c r="B12" s="87"/>
      <c r="C12" s="80"/>
      <c r="D12" s="115"/>
      <c r="E12" s="116"/>
      <c r="G12" s="117"/>
      <c r="H12" s="80"/>
      <c r="J12" s="152"/>
      <c r="K12" s="153"/>
      <c r="L12" s="117"/>
      <c r="M12" s="117"/>
      <c r="N12" s="117"/>
      <c r="O12" s="117"/>
      <c r="P12" s="117"/>
      <c r="Q12" s="117"/>
    </row>
    <row r="13" spans="1:19" s="98" customFormat="1" x14ac:dyDescent="0.25">
      <c r="A13" s="168" t="s">
        <v>218</v>
      </c>
      <c r="B13" s="87"/>
      <c r="C13" s="80"/>
      <c r="D13" s="115"/>
      <c r="E13" s="116"/>
      <c r="G13" s="117"/>
      <c r="H13" s="80"/>
      <c r="K13" s="280" t="s">
        <v>144</v>
      </c>
      <c r="L13" s="117"/>
      <c r="M13" s="117"/>
      <c r="N13" s="117"/>
      <c r="O13" s="117"/>
      <c r="P13" s="117"/>
      <c r="Q13" s="117"/>
    </row>
    <row r="14" spans="1:19" s="98" customFormat="1" x14ac:dyDescent="0.25">
      <c r="A14" s="15"/>
      <c r="B14" s="121"/>
      <c r="C14" s="80"/>
      <c r="D14" s="115"/>
      <c r="E14" s="116"/>
      <c r="G14" s="117"/>
      <c r="H14" s="118">
        <f>ROUNDUP(F20,0)</f>
        <v>330</v>
      </c>
      <c r="I14" s="119" t="s">
        <v>201</v>
      </c>
      <c r="J14" s="87">
        <f>+B7*F20</f>
        <v>102.63</v>
      </c>
      <c r="K14" s="264">
        <f>+F20*G7</f>
        <v>146.63</v>
      </c>
      <c r="L14" s="117"/>
      <c r="M14" s="117"/>
      <c r="N14" s="117"/>
      <c r="O14" s="117"/>
      <c r="P14" s="117"/>
      <c r="Q14" s="117"/>
    </row>
    <row r="15" spans="1:19" s="125" customFormat="1" ht="31.5" x14ac:dyDescent="0.25">
      <c r="A15" s="182"/>
      <c r="B15" s="183" t="s">
        <v>199</v>
      </c>
      <c r="C15" s="184" t="s">
        <v>196</v>
      </c>
      <c r="D15" s="183" t="s">
        <v>197</v>
      </c>
      <c r="E15" s="169" t="s">
        <v>198</v>
      </c>
      <c r="F15" s="185" t="s">
        <v>188</v>
      </c>
      <c r="G15" s="124"/>
      <c r="H15" s="72"/>
      <c r="I15" s="322" t="s">
        <v>177</v>
      </c>
      <c r="J15" s="310">
        <f>+H15*45</f>
        <v>0</v>
      </c>
      <c r="K15" s="311">
        <f>+H15*85</f>
        <v>0</v>
      </c>
      <c r="L15" s="124"/>
      <c r="M15" s="124"/>
      <c r="N15" s="124"/>
      <c r="O15" s="124"/>
      <c r="P15" s="124"/>
      <c r="Q15" s="124"/>
    </row>
    <row r="16" spans="1:19" s="81" customFormat="1" x14ac:dyDescent="0.25">
      <c r="A16" s="306" t="s">
        <v>207</v>
      </c>
      <c r="B16" s="251" t="s">
        <v>203</v>
      </c>
      <c r="C16" s="252" t="s">
        <v>423</v>
      </c>
      <c r="D16" s="251">
        <v>15</v>
      </c>
      <c r="E16" s="254">
        <f>IF(B16="Daily",7, IF(B16="Weekly",1, IF(B16="Every Other Day",4,"")))</f>
        <v>7</v>
      </c>
      <c r="F16" s="255">
        <f>+D16*E16</f>
        <v>105</v>
      </c>
      <c r="G16" s="83"/>
      <c r="H16" s="80">
        <f>IF(E20&gt;=25, E20+2, E20+1)</f>
        <v>23</v>
      </c>
      <c r="I16" s="62" t="s">
        <v>217</v>
      </c>
      <c r="J16" s="87">
        <f>0.25*H16</f>
        <v>5.75</v>
      </c>
      <c r="K16" s="263"/>
      <c r="L16" s="83"/>
      <c r="M16" s="83"/>
      <c r="N16" s="83"/>
      <c r="O16" s="83"/>
      <c r="P16" s="83"/>
      <c r="Q16" s="83"/>
    </row>
    <row r="17" spans="1:17" s="81" customFormat="1" x14ac:dyDescent="0.25">
      <c r="A17" s="306" t="s">
        <v>207</v>
      </c>
      <c r="B17" s="251" t="s">
        <v>203</v>
      </c>
      <c r="C17" s="252"/>
      <c r="D17" s="251">
        <v>15</v>
      </c>
      <c r="E17" s="254">
        <v>4</v>
      </c>
      <c r="F17" s="255">
        <f>+D17*E17</f>
        <v>60</v>
      </c>
      <c r="G17" s="83"/>
      <c r="H17" s="80">
        <f>ROUNDUP(F21,0)</f>
        <v>2</v>
      </c>
      <c r="I17" s="62" t="s">
        <v>190</v>
      </c>
      <c r="J17" s="87">
        <f>+H17*0.8</f>
        <v>1.6</v>
      </c>
      <c r="K17" s="263"/>
      <c r="L17" s="83"/>
      <c r="M17" s="83"/>
      <c r="N17" s="83"/>
      <c r="O17" s="83"/>
      <c r="P17" s="83"/>
      <c r="Q17" s="83"/>
    </row>
    <row r="18" spans="1:17" s="81" customFormat="1" x14ac:dyDescent="0.25">
      <c r="A18" s="306" t="s">
        <v>207</v>
      </c>
      <c r="B18" s="251" t="s">
        <v>203</v>
      </c>
      <c r="C18" s="252"/>
      <c r="D18" s="251">
        <v>15</v>
      </c>
      <c r="E18" s="254">
        <f>IF(B18="Daily",7, IF(B18="Weekly",1, IF(B18="Every Other Day",4,"")))</f>
        <v>7</v>
      </c>
      <c r="F18" s="255">
        <f>+D18*E18</f>
        <v>105</v>
      </c>
      <c r="G18" s="83"/>
      <c r="H18" s="80">
        <f>H16</f>
        <v>23</v>
      </c>
      <c r="I18" s="62" t="s">
        <v>200</v>
      </c>
      <c r="J18" s="87">
        <f>(5/100)*H18</f>
        <v>1.1500000000000001</v>
      </c>
      <c r="K18" s="263"/>
      <c r="L18" s="83"/>
      <c r="M18" s="503"/>
      <c r="N18" s="503"/>
      <c r="O18" s="83"/>
      <c r="P18" s="83"/>
      <c r="Q18" s="83"/>
    </row>
    <row r="19" spans="1:17" s="81" customFormat="1" x14ac:dyDescent="0.25">
      <c r="A19" s="306" t="s">
        <v>207</v>
      </c>
      <c r="B19" s="251" t="s">
        <v>203</v>
      </c>
      <c r="C19" s="252"/>
      <c r="D19" s="251">
        <v>15</v>
      </c>
      <c r="E19" s="254">
        <v>4</v>
      </c>
      <c r="F19" s="255">
        <f>+D19*E19</f>
        <v>60</v>
      </c>
      <c r="G19" s="83"/>
      <c r="H19" s="77">
        <v>0</v>
      </c>
      <c r="I19" s="71" t="s">
        <v>192</v>
      </c>
      <c r="J19" s="142">
        <f>H19*3.65</f>
        <v>0</v>
      </c>
      <c r="K19" s="267"/>
      <c r="L19" s="83"/>
      <c r="M19" s="503"/>
      <c r="N19" s="503"/>
      <c r="O19" s="83"/>
      <c r="P19" s="83"/>
      <c r="Q19" s="83"/>
    </row>
    <row r="20" spans="1:17" s="81" customFormat="1" x14ac:dyDescent="0.25">
      <c r="A20" s="88"/>
      <c r="B20" s="79"/>
      <c r="C20" s="80"/>
      <c r="D20" s="82"/>
      <c r="E20" s="167">
        <f>SUM(E16:E19)</f>
        <v>22</v>
      </c>
      <c r="F20" s="279">
        <f>SUM(F16:F19)</f>
        <v>330</v>
      </c>
      <c r="G20" s="83"/>
      <c r="H20" s="80"/>
      <c r="J20" s="128">
        <f>SUM(J14:J19)</f>
        <v>111.13</v>
      </c>
      <c r="K20" s="269">
        <f>ROUNDUP(SUM(K14:K19),0)</f>
        <v>147</v>
      </c>
      <c r="L20" s="83"/>
      <c r="M20" s="433" t="s">
        <v>202</v>
      </c>
      <c r="N20" s="428">
        <f>+K20-J20</f>
        <v>35.870000000000005</v>
      </c>
      <c r="O20" s="83"/>
      <c r="P20" s="83"/>
      <c r="Q20" s="83"/>
    </row>
    <row r="21" spans="1:17" s="81" customFormat="1" x14ac:dyDescent="0.25">
      <c r="A21" s="88"/>
      <c r="B21" s="79"/>
      <c r="C21" s="80"/>
      <c r="D21" s="82"/>
      <c r="E21" s="89" t="s">
        <v>204</v>
      </c>
      <c r="F21" s="110">
        <f>+F20/300</f>
        <v>1.1000000000000001</v>
      </c>
      <c r="G21" s="83"/>
      <c r="H21" s="80"/>
      <c r="I21" s="131" t="s">
        <v>189</v>
      </c>
      <c r="J21" s="113">
        <f>+J20/H14</f>
        <v>0.33675757575757576</v>
      </c>
      <c r="K21" s="112">
        <f>+K20/H14</f>
        <v>0.44545454545454544</v>
      </c>
      <c r="L21" s="83"/>
      <c r="M21" s="503"/>
      <c r="N21" s="503"/>
      <c r="O21" s="83"/>
      <c r="P21" s="83"/>
      <c r="Q21" s="83"/>
    </row>
    <row r="22" spans="1:17" s="81" customFormat="1" x14ac:dyDescent="0.25">
      <c r="A22" s="88"/>
      <c r="B22" s="79"/>
      <c r="C22" s="80"/>
      <c r="D22" s="82"/>
      <c r="E22" s="109"/>
      <c r="G22" s="83"/>
      <c r="H22" s="80"/>
      <c r="I22" s="131"/>
      <c r="J22" s="131"/>
      <c r="K22" s="131"/>
      <c r="L22" s="83"/>
      <c r="M22" s="503"/>
      <c r="N22" s="503"/>
      <c r="O22" s="83"/>
      <c r="P22" s="83"/>
      <c r="Q22" s="83"/>
    </row>
    <row r="23" spans="1:17" s="241" customFormat="1" x14ac:dyDescent="0.25">
      <c r="A23" s="186"/>
      <c r="B23" s="240"/>
      <c r="D23" s="308"/>
      <c r="E23" s="242"/>
      <c r="F23" s="243"/>
      <c r="H23" s="173"/>
      <c r="J23" s="244"/>
      <c r="K23" s="245"/>
      <c r="M23" s="534"/>
      <c r="N23" s="534"/>
    </row>
    <row r="24" spans="1:17" s="161" customFormat="1" x14ac:dyDescent="0.25">
      <c r="A24" s="159"/>
      <c r="B24" s="160"/>
      <c r="D24" s="162"/>
      <c r="E24" s="163"/>
      <c r="H24" s="164"/>
      <c r="J24" s="165"/>
      <c r="K24" s="166"/>
      <c r="M24" s="501"/>
      <c r="N24" s="501"/>
    </row>
    <row r="25" spans="1:17" s="161" customFormat="1" x14ac:dyDescent="0.25">
      <c r="A25" s="159"/>
      <c r="B25" s="160"/>
      <c r="C25" s="164"/>
      <c r="D25" s="162"/>
      <c r="E25" s="163"/>
      <c r="H25" s="164"/>
      <c r="J25" s="165"/>
      <c r="K25" s="166"/>
      <c r="M25" s="501"/>
      <c r="N25" s="501"/>
    </row>
    <row r="26" spans="1:17" s="98" customFormat="1" x14ac:dyDescent="0.25">
      <c r="A26" s="15"/>
      <c r="B26" s="87"/>
      <c r="C26" s="80"/>
      <c r="D26" s="115"/>
      <c r="E26" s="116"/>
      <c r="G26" s="117"/>
      <c r="H26" s="80"/>
      <c r="K26" s="114" t="s">
        <v>144</v>
      </c>
      <c r="L26" s="117"/>
      <c r="M26" s="500"/>
      <c r="N26" s="500"/>
      <c r="O26" s="117"/>
      <c r="P26" s="117"/>
      <c r="Q26" s="117"/>
    </row>
    <row r="27" spans="1:17" s="98" customFormat="1" x14ac:dyDescent="0.25">
      <c r="A27" s="15"/>
      <c r="B27" s="121"/>
      <c r="C27" s="80"/>
      <c r="D27" s="115"/>
      <c r="E27" s="116"/>
      <c r="G27" s="117"/>
      <c r="H27" s="118">
        <f>ROUNDUP(F33,0)</f>
        <v>1260</v>
      </c>
      <c r="I27" s="119" t="s">
        <v>201</v>
      </c>
      <c r="J27" s="87">
        <f>+B7*F33</f>
        <v>391.86</v>
      </c>
      <c r="K27" s="120">
        <f>F33*G7</f>
        <v>559.86</v>
      </c>
      <c r="L27" s="117"/>
      <c r="M27" s="500"/>
      <c r="N27" s="500"/>
      <c r="O27" s="117"/>
      <c r="P27" s="117"/>
      <c r="Q27" s="117"/>
    </row>
    <row r="28" spans="1:17" s="125" customFormat="1" ht="31.5" x14ac:dyDescent="0.25">
      <c r="A28" s="653" t="s">
        <v>266</v>
      </c>
      <c r="B28" s="148" t="s">
        <v>199</v>
      </c>
      <c r="C28" s="149" t="s">
        <v>196</v>
      </c>
      <c r="D28" s="148" t="s">
        <v>197</v>
      </c>
      <c r="E28" s="122" t="s">
        <v>198</v>
      </c>
      <c r="F28" s="150" t="s">
        <v>188</v>
      </c>
      <c r="G28" s="124"/>
      <c r="H28" s="302">
        <v>0</v>
      </c>
      <c r="I28" s="62" t="s">
        <v>177</v>
      </c>
      <c r="J28" s="87">
        <f>+H28*45</f>
        <v>0</v>
      </c>
      <c r="K28" s="93">
        <f>+H28*85</f>
        <v>0</v>
      </c>
      <c r="L28" s="124"/>
      <c r="M28" s="502"/>
      <c r="N28" s="502"/>
      <c r="O28" s="632"/>
      <c r="P28" s="124"/>
      <c r="Q28" s="124"/>
    </row>
    <row r="29" spans="1:17" s="81" customFormat="1" x14ac:dyDescent="0.25">
      <c r="A29" s="78" t="s">
        <v>108</v>
      </c>
      <c r="B29" s="199" t="s">
        <v>203</v>
      </c>
      <c r="C29" s="192">
        <v>1000</v>
      </c>
      <c r="D29" s="199">
        <v>30</v>
      </c>
      <c r="E29" s="145">
        <f>IF(B29="Daily",7, IF(B29="Weekly",1, IF(B29="Every Other Day",4,"")))</f>
        <v>7</v>
      </c>
      <c r="F29" s="146">
        <f>+D29*E29</f>
        <v>210</v>
      </c>
      <c r="G29" s="83"/>
      <c r="H29" s="80">
        <f>IF(E33&gt;=25, E33+2, E33+1)</f>
        <v>30</v>
      </c>
      <c r="I29" s="62" t="s">
        <v>217</v>
      </c>
      <c r="J29" s="87">
        <f>0.25*H29</f>
        <v>7.5</v>
      </c>
      <c r="K29" s="93"/>
      <c r="L29" s="83"/>
      <c r="M29" s="503"/>
      <c r="N29" s="503"/>
      <c r="O29" s="83"/>
      <c r="P29" s="83"/>
      <c r="Q29" s="83"/>
    </row>
    <row r="30" spans="1:17" s="81" customFormat="1" x14ac:dyDescent="0.25">
      <c r="A30" s="78" t="s">
        <v>109</v>
      </c>
      <c r="B30" s="199" t="s">
        <v>203</v>
      </c>
      <c r="C30" s="192">
        <v>1000</v>
      </c>
      <c r="D30" s="199">
        <v>30</v>
      </c>
      <c r="E30" s="147">
        <f>IF(B30="Daily",7, IF(B30="Weekly",1, IF(B30="Every Other Day",4,"")))</f>
        <v>7</v>
      </c>
      <c r="F30" s="146">
        <f t="shared" ref="F30:F32" si="0">+D30*E30</f>
        <v>210</v>
      </c>
      <c r="G30" s="83"/>
      <c r="H30" s="80">
        <f>ROUNDUP(F34,0)</f>
        <v>5</v>
      </c>
      <c r="I30" s="62" t="s">
        <v>190</v>
      </c>
      <c r="J30" s="87">
        <f>+H30*0.8</f>
        <v>4</v>
      </c>
      <c r="K30" s="93"/>
      <c r="L30" s="83"/>
      <c r="M30" s="503"/>
      <c r="N30" s="503"/>
      <c r="O30" s="83"/>
      <c r="P30" s="83"/>
      <c r="Q30" s="83"/>
    </row>
    <row r="31" spans="1:17" s="81" customFormat="1" x14ac:dyDescent="0.25">
      <c r="A31" s="78" t="s">
        <v>110</v>
      </c>
      <c r="B31" s="199" t="s">
        <v>203</v>
      </c>
      <c r="C31" s="192">
        <v>2000</v>
      </c>
      <c r="D31" s="199">
        <v>60</v>
      </c>
      <c r="E31" s="147">
        <f>IF(B31="Daily",7, IF(B31="Weekly",1, IF(B31="Every Other Day",4,"")))</f>
        <v>7</v>
      </c>
      <c r="F31" s="146">
        <f t="shared" si="0"/>
        <v>420</v>
      </c>
      <c r="G31" s="83"/>
      <c r="H31" s="80">
        <f>H29</f>
        <v>30</v>
      </c>
      <c r="I31" s="62" t="s">
        <v>200</v>
      </c>
      <c r="J31" s="87">
        <f>(5/100)*H31</f>
        <v>1.5</v>
      </c>
      <c r="K31" s="93"/>
      <c r="L31" s="83"/>
      <c r="M31" s="503"/>
      <c r="N31" s="503"/>
      <c r="O31" s="83"/>
      <c r="P31" s="83"/>
      <c r="Q31" s="83"/>
    </row>
    <row r="32" spans="1:17" s="81" customFormat="1" x14ac:dyDescent="0.25">
      <c r="A32" s="100" t="s">
        <v>141</v>
      </c>
      <c r="B32" s="101" t="s">
        <v>203</v>
      </c>
      <c r="C32" s="102">
        <v>2000</v>
      </c>
      <c r="D32" s="101">
        <v>60</v>
      </c>
      <c r="E32" s="144">
        <f>IF(B32="Daily",7, IF(B32="Weekly",1, IF(B32="Every Other Day",4,"")))</f>
        <v>7</v>
      </c>
      <c r="F32" s="103">
        <f t="shared" si="0"/>
        <v>420</v>
      </c>
      <c r="G32" s="83"/>
      <c r="H32" s="303">
        <v>1</v>
      </c>
      <c r="I32" s="71" t="s">
        <v>192</v>
      </c>
      <c r="J32" s="142">
        <f>H32*3.65</f>
        <v>3.65</v>
      </c>
      <c r="K32" s="143"/>
      <c r="L32" s="83"/>
      <c r="M32" s="503"/>
      <c r="N32" s="503"/>
      <c r="O32" s="83"/>
      <c r="P32" s="83"/>
      <c r="Q32" s="83"/>
    </row>
    <row r="33" spans="1:17" s="81" customFormat="1" x14ac:dyDescent="0.25">
      <c r="A33" s="88"/>
      <c r="B33" s="79"/>
      <c r="C33" s="80"/>
      <c r="D33" s="82"/>
      <c r="E33" s="126">
        <f>SUM(E29:E32)</f>
        <v>28</v>
      </c>
      <c r="F33" s="127">
        <f>SUM(F29:F32)</f>
        <v>1260</v>
      </c>
      <c r="G33" s="83"/>
      <c r="H33" s="80"/>
      <c r="J33" s="128">
        <f>SUM(J27:J32)</f>
        <v>408.51</v>
      </c>
      <c r="K33" s="129">
        <f>ROUNDUP(SUM(K27:K32),0)</f>
        <v>560</v>
      </c>
      <c r="L33" s="83"/>
      <c r="M33" s="433" t="s">
        <v>202</v>
      </c>
      <c r="N33" s="428">
        <f>+K33-J33</f>
        <v>151.49</v>
      </c>
      <c r="O33" s="83"/>
      <c r="P33" s="83"/>
      <c r="Q33" s="83"/>
    </row>
    <row r="34" spans="1:17" s="81" customFormat="1" x14ac:dyDescent="0.25">
      <c r="A34" s="88"/>
      <c r="B34" s="79"/>
      <c r="C34" s="80"/>
      <c r="D34" s="82"/>
      <c r="E34" s="89" t="s">
        <v>204</v>
      </c>
      <c r="F34" s="110">
        <f>+F33/300</f>
        <v>4.2</v>
      </c>
      <c r="G34" s="83"/>
      <c r="H34" s="80"/>
      <c r="I34" s="131" t="s">
        <v>189</v>
      </c>
      <c r="J34" s="113">
        <f>+J33/H27</f>
        <v>0.32421428571428573</v>
      </c>
      <c r="K34" s="112">
        <f>+K33/H27</f>
        <v>0.44444444444444442</v>
      </c>
      <c r="L34" s="83"/>
      <c r="M34" s="503"/>
      <c r="N34" s="503"/>
      <c r="O34" s="83"/>
      <c r="P34" s="83"/>
      <c r="Q34" s="83"/>
    </row>
    <row r="35" spans="1:17" s="81" customFormat="1" x14ac:dyDescent="0.25">
      <c r="A35" s="88"/>
      <c r="B35" s="79"/>
      <c r="C35" s="80"/>
      <c r="D35" s="82"/>
      <c r="E35" s="109"/>
      <c r="G35" s="83"/>
      <c r="H35" s="80"/>
      <c r="I35" s="131"/>
      <c r="J35" s="131"/>
      <c r="K35" s="131"/>
      <c r="L35" s="83"/>
      <c r="M35" s="503"/>
      <c r="N35" s="503"/>
      <c r="O35" s="83"/>
      <c r="P35" s="83"/>
      <c r="Q35" s="83"/>
    </row>
    <row r="36" spans="1:17" s="107" customFormat="1" x14ac:dyDescent="0.25">
      <c r="A36" s="104"/>
      <c r="B36" s="105"/>
      <c r="C36" s="106"/>
      <c r="D36" s="108"/>
      <c r="E36" s="151"/>
      <c r="H36" s="106"/>
      <c r="M36" s="504"/>
      <c r="N36" s="504"/>
    </row>
    <row r="37" spans="1:17" s="98" customFormat="1" x14ac:dyDescent="0.25">
      <c r="A37" s="15"/>
      <c r="B37" s="87"/>
      <c r="C37" s="80"/>
      <c r="D37" s="115"/>
      <c r="E37" s="116"/>
      <c r="G37" s="117"/>
      <c r="H37" s="80"/>
      <c r="J37" s="152"/>
      <c r="K37" s="153"/>
      <c r="L37" s="117"/>
      <c r="M37" s="500"/>
      <c r="N37" s="500"/>
      <c r="O37" s="117"/>
      <c r="P37" s="117"/>
      <c r="Q37" s="117"/>
    </row>
    <row r="38" spans="1:17" s="98" customFormat="1" x14ac:dyDescent="0.25">
      <c r="A38" s="15"/>
      <c r="B38" s="87"/>
      <c r="C38" s="80"/>
      <c r="D38" s="115"/>
      <c r="E38" s="116"/>
      <c r="G38" s="117"/>
      <c r="H38" s="80"/>
      <c r="K38" s="114" t="s">
        <v>144</v>
      </c>
      <c r="L38" s="117"/>
      <c r="M38" s="500"/>
      <c r="N38" s="500"/>
      <c r="O38" s="117"/>
      <c r="P38" s="117"/>
      <c r="Q38" s="117"/>
    </row>
    <row r="39" spans="1:17" s="98" customFormat="1" x14ac:dyDescent="0.25">
      <c r="A39" s="15"/>
      <c r="B39" s="121"/>
      <c r="C39" s="80"/>
      <c r="D39" s="115"/>
      <c r="E39" s="116"/>
      <c r="G39" s="117"/>
      <c r="H39" s="118">
        <f>ROUNDUP(F45,0)</f>
        <v>1680</v>
      </c>
      <c r="I39" s="119" t="s">
        <v>201</v>
      </c>
      <c r="J39" s="87">
        <f>+B7*F45</f>
        <v>522.48</v>
      </c>
      <c r="K39" s="120">
        <f>+F45*G7</f>
        <v>746.48</v>
      </c>
      <c r="L39" s="117"/>
      <c r="M39" s="500"/>
      <c r="N39" s="500"/>
      <c r="O39" s="117"/>
      <c r="P39" s="117"/>
      <c r="Q39" s="117"/>
    </row>
    <row r="40" spans="1:17" s="125" customFormat="1" ht="31.5" x14ac:dyDescent="0.25">
      <c r="A40" s="653" t="s">
        <v>268</v>
      </c>
      <c r="B40" s="148" t="s">
        <v>199</v>
      </c>
      <c r="C40" s="123" t="s">
        <v>196</v>
      </c>
      <c r="D40" s="122" t="s">
        <v>197</v>
      </c>
      <c r="E40" s="122" t="s">
        <v>198</v>
      </c>
      <c r="F40" s="150" t="s">
        <v>188</v>
      </c>
      <c r="G40" s="124"/>
      <c r="H40" s="302">
        <v>0</v>
      </c>
      <c r="I40" s="62" t="s">
        <v>177</v>
      </c>
      <c r="J40" s="87">
        <f>+H40*45</f>
        <v>0</v>
      </c>
      <c r="K40" s="93">
        <f>+H40*85</f>
        <v>0</v>
      </c>
      <c r="L40" s="124"/>
      <c r="M40" s="502"/>
      <c r="N40" s="502"/>
      <c r="O40" s="124"/>
      <c r="P40" s="124"/>
      <c r="Q40" s="124"/>
    </row>
    <row r="41" spans="1:17" s="81" customFormat="1" x14ac:dyDescent="0.25">
      <c r="A41" s="78" t="s">
        <v>207</v>
      </c>
      <c r="B41" s="199" t="s">
        <v>203</v>
      </c>
      <c r="C41" s="320">
        <v>2000</v>
      </c>
      <c r="D41" s="321">
        <v>60</v>
      </c>
      <c r="E41" s="145">
        <f>IF(B41="Daily",7, IF(B41="Weekly",1, IF(B41="Every Other Day",4,"")))</f>
        <v>7</v>
      </c>
      <c r="F41" s="146">
        <f>+D41*E41</f>
        <v>420</v>
      </c>
      <c r="G41" s="83"/>
      <c r="H41" s="80">
        <f>IF(E45&gt;=25, E45+2, E45+1)</f>
        <v>30</v>
      </c>
      <c r="I41" s="62" t="s">
        <v>217</v>
      </c>
      <c r="J41" s="87">
        <f>0.25*H41</f>
        <v>7.5</v>
      </c>
      <c r="K41" s="93"/>
      <c r="L41" s="83"/>
      <c r="M41" s="503"/>
      <c r="N41" s="503"/>
      <c r="O41" s="83"/>
      <c r="P41" s="83"/>
      <c r="Q41" s="83"/>
    </row>
    <row r="42" spans="1:17" s="81" customFormat="1" x14ac:dyDescent="0.25">
      <c r="A42" s="78" t="s">
        <v>208</v>
      </c>
      <c r="B42" s="199" t="s">
        <v>203</v>
      </c>
      <c r="C42" s="315">
        <v>2000</v>
      </c>
      <c r="D42" s="316">
        <v>60</v>
      </c>
      <c r="E42" s="147">
        <f>IF(B42="Daily",7, IF(B42="Weekly",1, IF(B42="Every Other Day",4,"")))</f>
        <v>7</v>
      </c>
      <c r="F42" s="146">
        <f t="shared" ref="F42:F44" si="1">+D42*E42</f>
        <v>420</v>
      </c>
      <c r="G42" s="83"/>
      <c r="H42" s="80">
        <f>ROUNDUP(F46,0)</f>
        <v>6</v>
      </c>
      <c r="I42" s="62" t="s">
        <v>190</v>
      </c>
      <c r="J42" s="87">
        <f>+H42*0.8</f>
        <v>4.8000000000000007</v>
      </c>
      <c r="K42" s="93"/>
      <c r="L42" s="83"/>
      <c r="M42" s="503"/>
      <c r="N42" s="503"/>
      <c r="O42" s="83"/>
      <c r="P42" s="83"/>
      <c r="Q42" s="83"/>
    </row>
    <row r="43" spans="1:17" s="81" customFormat="1" x14ac:dyDescent="0.25">
      <c r="A43" s="78" t="s">
        <v>209</v>
      </c>
      <c r="B43" s="199" t="s">
        <v>203</v>
      </c>
      <c r="C43" s="315">
        <v>2000</v>
      </c>
      <c r="D43" s="316">
        <v>60</v>
      </c>
      <c r="E43" s="147">
        <f>IF(B43="Daily",7, IF(B43="Weekly",1, IF(B43="Every Other Day",4,"")))</f>
        <v>7</v>
      </c>
      <c r="F43" s="146">
        <f t="shared" si="1"/>
        <v>420</v>
      </c>
      <c r="G43" s="83"/>
      <c r="H43" s="80">
        <f>H41</f>
        <v>30</v>
      </c>
      <c r="I43" s="62" t="s">
        <v>200</v>
      </c>
      <c r="J43" s="87">
        <f>(5/100)*H43</f>
        <v>1.5</v>
      </c>
      <c r="K43" s="93"/>
      <c r="L43" s="83"/>
      <c r="M43" s="503"/>
      <c r="N43" s="503"/>
      <c r="O43" s="83"/>
      <c r="P43" s="83"/>
      <c r="Q43" s="83"/>
    </row>
    <row r="44" spans="1:17" s="81" customFormat="1" x14ac:dyDescent="0.25">
      <c r="A44" s="100" t="s">
        <v>210</v>
      </c>
      <c r="B44" s="101" t="s">
        <v>203</v>
      </c>
      <c r="C44" s="102">
        <v>2000</v>
      </c>
      <c r="D44" s="101">
        <v>60</v>
      </c>
      <c r="E44" s="144">
        <f>IF(B44="Daily",7, IF(B44="Weekly",1, IF(B44="Every Other Day",4,"")))</f>
        <v>7</v>
      </c>
      <c r="F44" s="103">
        <f t="shared" si="1"/>
        <v>420</v>
      </c>
      <c r="G44" s="83"/>
      <c r="H44" s="303">
        <v>0</v>
      </c>
      <c r="I44" s="71" t="s">
        <v>192</v>
      </c>
      <c r="J44" s="142">
        <f>H44*3.65</f>
        <v>0</v>
      </c>
      <c r="K44" s="143"/>
      <c r="L44" s="83"/>
      <c r="M44" s="503"/>
      <c r="N44" s="503"/>
      <c r="O44" s="83"/>
      <c r="P44" s="83"/>
      <c r="Q44" s="83"/>
    </row>
    <row r="45" spans="1:17" s="81" customFormat="1" x14ac:dyDescent="0.25">
      <c r="A45" s="88"/>
      <c r="B45" s="79"/>
      <c r="C45" s="80"/>
      <c r="D45" s="82"/>
      <c r="E45" s="126">
        <f>SUM(E41:E44)</f>
        <v>28</v>
      </c>
      <c r="F45" s="127">
        <f>SUM(F41:F44)</f>
        <v>1680</v>
      </c>
      <c r="G45" s="83"/>
      <c r="H45" s="80"/>
      <c r="J45" s="128">
        <f>SUM(J39:J44)</f>
        <v>536.28</v>
      </c>
      <c r="K45" s="129">
        <f>ROUNDUP(SUM(K39:K44),0)</f>
        <v>747</v>
      </c>
      <c r="L45" s="83"/>
      <c r="M45" s="433" t="s">
        <v>202</v>
      </c>
      <c r="N45" s="428">
        <f>+K45-J45</f>
        <v>210.72000000000003</v>
      </c>
      <c r="O45" s="83"/>
      <c r="P45" s="83"/>
      <c r="Q45" s="83"/>
    </row>
    <row r="46" spans="1:17" s="81" customFormat="1" x14ac:dyDescent="0.25">
      <c r="A46" s="88"/>
      <c r="B46" s="79"/>
      <c r="C46" s="80"/>
      <c r="D46" s="82"/>
      <c r="E46" s="89" t="s">
        <v>204</v>
      </c>
      <c r="F46" s="110">
        <f>+F45/300</f>
        <v>5.6</v>
      </c>
      <c r="G46" s="83"/>
      <c r="H46" s="80"/>
      <c r="I46" s="131" t="s">
        <v>189</v>
      </c>
      <c r="J46" s="113">
        <f>+J45/H39</f>
        <v>0.31921428571428567</v>
      </c>
      <c r="K46" s="112">
        <f>+K45/H39</f>
        <v>0.44464285714285712</v>
      </c>
      <c r="L46" s="83"/>
      <c r="M46" s="503"/>
      <c r="N46" s="503"/>
      <c r="O46" s="83"/>
      <c r="P46" s="83"/>
      <c r="Q46" s="83"/>
    </row>
    <row r="47" spans="1:17" s="81" customFormat="1" x14ac:dyDescent="0.25">
      <c r="A47" s="88"/>
      <c r="B47" s="79"/>
      <c r="C47" s="80"/>
      <c r="D47" s="82"/>
      <c r="E47" s="109"/>
      <c r="G47" s="83"/>
      <c r="H47" s="80"/>
      <c r="I47" s="131"/>
      <c r="J47" s="131"/>
      <c r="K47" s="131"/>
      <c r="L47" s="83"/>
      <c r="M47" s="503"/>
      <c r="N47" s="503"/>
      <c r="O47" s="83"/>
      <c r="P47" s="83"/>
      <c r="Q47" s="83"/>
    </row>
    <row r="48" spans="1:17" s="107" customFormat="1" x14ac:dyDescent="0.25">
      <c r="A48" s="104"/>
      <c r="B48" s="105"/>
      <c r="C48" s="106"/>
      <c r="E48" s="108"/>
      <c r="F48" s="151"/>
      <c r="I48" s="106"/>
      <c r="N48" s="504"/>
      <c r="O48" s="504"/>
    </row>
    <row r="49" spans="1:18" s="98" customFormat="1" x14ac:dyDescent="0.25">
      <c r="A49" s="15"/>
      <c r="B49" s="87"/>
      <c r="C49" s="80"/>
      <c r="D49" s="115"/>
      <c r="E49" s="116"/>
      <c r="G49" s="117"/>
      <c r="H49" s="80"/>
      <c r="J49" s="152"/>
      <c r="K49" s="153"/>
      <c r="L49" s="117"/>
      <c r="M49" s="500"/>
      <c r="N49" s="500"/>
      <c r="O49" s="117"/>
      <c r="P49" s="117"/>
      <c r="Q49" s="117"/>
    </row>
    <row r="50" spans="1:18" s="98" customFormat="1" x14ac:dyDescent="0.25">
      <c r="A50" s="15"/>
      <c r="B50" s="87"/>
      <c r="C50" s="80"/>
      <c r="D50" s="115"/>
      <c r="E50" s="116"/>
      <c r="G50" s="117"/>
      <c r="H50" s="80"/>
      <c r="K50" s="114" t="s">
        <v>144</v>
      </c>
      <c r="L50" s="117"/>
      <c r="M50" s="500"/>
      <c r="N50" s="500"/>
      <c r="O50" s="117"/>
      <c r="P50" s="117"/>
      <c r="Q50" s="117"/>
    </row>
    <row r="51" spans="1:18" s="98" customFormat="1" x14ac:dyDescent="0.25">
      <c r="A51" s="15"/>
      <c r="B51" s="121"/>
      <c r="C51" s="80"/>
      <c r="D51" s="115"/>
      <c r="E51" s="116"/>
      <c r="G51" s="117"/>
      <c r="H51" s="118">
        <f>ROUNDUP(F57,0)</f>
        <v>1680</v>
      </c>
      <c r="I51" s="119" t="s">
        <v>201</v>
      </c>
      <c r="J51" s="87">
        <f>+B7*F57</f>
        <v>522.48</v>
      </c>
      <c r="K51" s="120">
        <f>+F57*G7</f>
        <v>746.48</v>
      </c>
      <c r="L51" s="117"/>
      <c r="M51" s="500"/>
      <c r="N51" s="500"/>
      <c r="O51" s="117"/>
      <c r="P51" s="117"/>
      <c r="Q51" s="117"/>
    </row>
    <row r="52" spans="1:18" s="125" customFormat="1" ht="31.5" x14ac:dyDescent="0.25">
      <c r="A52" s="653" t="s">
        <v>269</v>
      </c>
      <c r="B52" s="148" t="s">
        <v>199</v>
      </c>
      <c r="C52" s="123" t="s">
        <v>196</v>
      </c>
      <c r="D52" s="122" t="s">
        <v>197</v>
      </c>
      <c r="E52" s="122" t="s">
        <v>198</v>
      </c>
      <c r="F52" s="150" t="s">
        <v>188</v>
      </c>
      <c r="G52" s="124"/>
      <c r="H52" s="302">
        <v>0</v>
      </c>
      <c r="I52" s="62" t="s">
        <v>177</v>
      </c>
      <c r="J52" s="87">
        <f>+H52*45</f>
        <v>0</v>
      </c>
      <c r="K52" s="93">
        <f>+H52*85</f>
        <v>0</v>
      </c>
      <c r="L52" s="124"/>
      <c r="M52" s="502"/>
      <c r="N52" s="502"/>
      <c r="O52" s="124"/>
      <c r="P52" s="124"/>
      <c r="Q52" s="124"/>
    </row>
    <row r="53" spans="1:18" s="81" customFormat="1" x14ac:dyDescent="0.25">
      <c r="A53" s="193" t="s">
        <v>211</v>
      </c>
      <c r="B53" s="199" t="s">
        <v>203</v>
      </c>
      <c r="C53" s="320">
        <v>2000</v>
      </c>
      <c r="D53" s="321">
        <v>60</v>
      </c>
      <c r="E53" s="145">
        <f>IF(B53="Daily",7, IF(B53="Weekly",1, IF(B53="Every Other Day",4,"")))</f>
        <v>7</v>
      </c>
      <c r="F53" s="146">
        <f>+D53*E53</f>
        <v>420</v>
      </c>
      <c r="G53" s="83"/>
      <c r="H53" s="80">
        <f>IF(E57&gt;=25, E57+2, E57+1)</f>
        <v>30</v>
      </c>
      <c r="I53" s="62" t="s">
        <v>217</v>
      </c>
      <c r="J53" s="87">
        <f>0.25*H53</f>
        <v>7.5</v>
      </c>
      <c r="K53" s="93"/>
      <c r="L53" s="83"/>
      <c r="M53" s="503"/>
      <c r="N53" s="503"/>
      <c r="O53" s="83"/>
      <c r="P53" s="83"/>
      <c r="Q53" s="83"/>
    </row>
    <row r="54" spans="1:18" s="81" customFormat="1" x14ac:dyDescent="0.25">
      <c r="A54" s="193" t="s">
        <v>212</v>
      </c>
      <c r="B54" s="199" t="s">
        <v>203</v>
      </c>
      <c r="C54" s="315">
        <v>2000</v>
      </c>
      <c r="D54" s="316">
        <v>60</v>
      </c>
      <c r="E54" s="147">
        <f>IF(B54="Daily",7, IF(B54="Weekly",1, IF(B54="Every Other Day",4,"")))</f>
        <v>7</v>
      </c>
      <c r="F54" s="146">
        <f t="shared" ref="F54:F56" si="2">+D54*E54</f>
        <v>420</v>
      </c>
      <c r="G54" s="83"/>
      <c r="H54" s="80">
        <f>ROUNDUP(F58,0)</f>
        <v>6</v>
      </c>
      <c r="I54" s="62" t="s">
        <v>190</v>
      </c>
      <c r="J54" s="87">
        <f>+H54*0.8</f>
        <v>4.8000000000000007</v>
      </c>
      <c r="K54" s="93"/>
      <c r="L54" s="83"/>
      <c r="M54" s="503"/>
      <c r="N54" s="503"/>
      <c r="O54" s="83"/>
      <c r="P54" s="83"/>
      <c r="Q54" s="83"/>
    </row>
    <row r="55" spans="1:18" s="81" customFormat="1" x14ac:dyDescent="0.25">
      <c r="A55" s="193" t="s">
        <v>213</v>
      </c>
      <c r="B55" s="199" t="s">
        <v>203</v>
      </c>
      <c r="C55" s="315">
        <v>2000</v>
      </c>
      <c r="D55" s="316">
        <v>60</v>
      </c>
      <c r="E55" s="147">
        <f>IF(B55="Daily",7, IF(B55="Weekly",1, IF(B55="Every Other Day",4,"")))</f>
        <v>7</v>
      </c>
      <c r="F55" s="146">
        <f t="shared" si="2"/>
        <v>420</v>
      </c>
      <c r="G55" s="83"/>
      <c r="H55" s="80">
        <f>H53</f>
        <v>30</v>
      </c>
      <c r="I55" s="62" t="s">
        <v>200</v>
      </c>
      <c r="J55" s="87">
        <f>(5/100)*H55</f>
        <v>1.5</v>
      </c>
      <c r="K55" s="93"/>
      <c r="L55" s="83"/>
      <c r="M55" s="503"/>
      <c r="N55" s="503"/>
      <c r="O55" s="83"/>
      <c r="P55" s="83"/>
      <c r="Q55" s="83"/>
    </row>
    <row r="56" spans="1:18" s="81" customFormat="1" x14ac:dyDescent="0.25">
      <c r="A56" s="195" t="s">
        <v>214</v>
      </c>
      <c r="B56" s="101" t="s">
        <v>203</v>
      </c>
      <c r="C56" s="102">
        <v>2000</v>
      </c>
      <c r="D56" s="101">
        <v>60</v>
      </c>
      <c r="E56" s="144">
        <f>IF(B56="Daily",7, IF(B56="Weekly",1, IF(B56="Every Other Day",4,"")))</f>
        <v>7</v>
      </c>
      <c r="F56" s="103">
        <f t="shared" si="2"/>
        <v>420</v>
      </c>
      <c r="G56" s="83"/>
      <c r="H56" s="303">
        <v>0</v>
      </c>
      <c r="I56" s="71" t="s">
        <v>192</v>
      </c>
      <c r="J56" s="142">
        <f>H56*3.65</f>
        <v>0</v>
      </c>
      <c r="K56" s="143"/>
      <c r="L56" s="83"/>
      <c r="M56" s="503"/>
      <c r="N56" s="503"/>
      <c r="O56" s="83"/>
      <c r="P56" s="83"/>
      <c r="Q56" s="83"/>
    </row>
    <row r="57" spans="1:18" s="81" customFormat="1" x14ac:dyDescent="0.25">
      <c r="A57" s="88"/>
      <c r="B57" s="79"/>
      <c r="C57" s="80"/>
      <c r="D57" s="82"/>
      <c r="E57" s="126">
        <f>SUM(E53:E56)</f>
        <v>28</v>
      </c>
      <c r="F57" s="127">
        <f>SUM(F53:F56)</f>
        <v>1680</v>
      </c>
      <c r="G57" s="83"/>
      <c r="H57" s="80"/>
      <c r="J57" s="128">
        <f>SUM(J51:J56)</f>
        <v>536.28</v>
      </c>
      <c r="K57" s="129">
        <f>ROUNDUP(SUM(K51:K56),0)</f>
        <v>747</v>
      </c>
      <c r="L57" s="83"/>
      <c r="M57" s="433" t="s">
        <v>202</v>
      </c>
      <c r="N57" s="428">
        <f>+K57-J57</f>
        <v>210.72000000000003</v>
      </c>
      <c r="O57" s="83"/>
      <c r="P57" s="83"/>
      <c r="Q57" s="83"/>
    </row>
    <row r="58" spans="1:18" s="81" customFormat="1" x14ac:dyDescent="0.25">
      <c r="A58" s="88"/>
      <c r="B58" s="79"/>
      <c r="C58" s="80"/>
      <c r="D58" s="82"/>
      <c r="E58" s="89" t="s">
        <v>204</v>
      </c>
      <c r="F58" s="110">
        <f>+F57/300</f>
        <v>5.6</v>
      </c>
      <c r="G58" s="83"/>
      <c r="H58" s="80"/>
      <c r="I58" s="131" t="s">
        <v>189</v>
      </c>
      <c r="J58" s="113">
        <f>+J57/H51</f>
        <v>0.31921428571428567</v>
      </c>
      <c r="K58" s="112">
        <f>+K57/H51</f>
        <v>0.44464285714285712</v>
      </c>
      <c r="L58" s="83"/>
      <c r="M58" s="503"/>
      <c r="N58" s="503"/>
      <c r="O58" s="83"/>
      <c r="P58" s="83"/>
      <c r="Q58" s="83"/>
    </row>
    <row r="59" spans="1:18" s="81" customFormat="1" x14ac:dyDescent="0.25">
      <c r="A59" s="88"/>
      <c r="B59" s="79"/>
      <c r="C59" s="80"/>
      <c r="D59" s="82"/>
      <c r="E59" s="109"/>
      <c r="G59" s="83"/>
      <c r="H59" s="80"/>
      <c r="I59" s="131"/>
      <c r="J59" s="131"/>
      <c r="K59" s="131"/>
      <c r="L59" s="83"/>
      <c r="M59" s="503"/>
      <c r="N59" s="503"/>
      <c r="O59" s="83"/>
      <c r="P59" s="83"/>
      <c r="Q59" s="83"/>
    </row>
    <row r="60" spans="1:18" s="107" customFormat="1" x14ac:dyDescent="0.25">
      <c r="A60" s="104"/>
      <c r="B60" s="105"/>
      <c r="C60" s="106"/>
      <c r="E60" s="108"/>
      <c r="F60" s="151"/>
      <c r="I60" s="106"/>
      <c r="N60" s="504"/>
      <c r="O60" s="504"/>
    </row>
    <row r="61" spans="1:18" s="81" customFormat="1" x14ac:dyDescent="0.25">
      <c r="A61" s="88"/>
      <c r="B61" s="79"/>
      <c r="C61" s="80"/>
      <c r="E61" s="82"/>
      <c r="F61" s="109"/>
      <c r="H61" s="83"/>
      <c r="I61" s="80"/>
      <c r="J61" s="110"/>
      <c r="K61" s="111"/>
      <c r="L61" s="112"/>
      <c r="M61" s="83"/>
      <c r="N61" s="503"/>
      <c r="O61" s="503"/>
      <c r="P61" s="83"/>
      <c r="Q61" s="83"/>
      <c r="R61" s="83"/>
    </row>
    <row r="62" spans="1:18" s="81" customFormat="1" x14ac:dyDescent="0.25">
      <c r="A62" s="88" t="s">
        <v>215</v>
      </c>
      <c r="B62" s="79" t="s">
        <v>216</v>
      </c>
      <c r="C62" s="80"/>
      <c r="E62" s="82"/>
      <c r="F62" s="109"/>
      <c r="H62" s="83"/>
      <c r="I62" s="80"/>
      <c r="J62" s="110"/>
      <c r="K62" s="111"/>
      <c r="L62" s="112"/>
      <c r="M62" s="83"/>
      <c r="N62" s="503"/>
      <c r="O62" s="503"/>
      <c r="P62" s="83"/>
      <c r="Q62" s="83"/>
      <c r="R62" s="83"/>
    </row>
    <row r="63" spans="1:18" s="81" customFormat="1" x14ac:dyDescent="0.25">
      <c r="A63" s="13"/>
      <c r="B63" s="79"/>
      <c r="C63" s="80"/>
      <c r="E63" s="82"/>
      <c r="F63" s="109"/>
      <c r="H63" s="83"/>
      <c r="I63" s="80"/>
      <c r="J63" s="110"/>
      <c r="K63" s="111"/>
      <c r="L63" s="112"/>
      <c r="M63" s="83"/>
      <c r="N63" s="503"/>
      <c r="O63" s="503"/>
      <c r="P63" s="83"/>
      <c r="Q63" s="83"/>
      <c r="R63" s="83"/>
    </row>
    <row r="64" spans="1:18" s="81" customFormat="1" x14ac:dyDescent="0.25">
      <c r="A64" s="88"/>
      <c r="B64" s="79"/>
      <c r="C64" s="80"/>
      <c r="E64" s="82"/>
      <c r="F64" s="109"/>
      <c r="H64" s="83"/>
      <c r="I64" s="80"/>
      <c r="J64" s="110"/>
      <c r="K64" s="111"/>
      <c r="L64" s="112"/>
      <c r="M64" s="83"/>
      <c r="N64" s="503"/>
      <c r="O64" s="503"/>
      <c r="P64" s="83"/>
      <c r="Q64" s="83"/>
      <c r="R64" s="83"/>
    </row>
    <row r="65" spans="1:15" s="379" customFormat="1" x14ac:dyDescent="0.25">
      <c r="E65" s="380"/>
      <c r="G65" s="381"/>
      <c r="H65" s="382"/>
      <c r="I65" s="383"/>
      <c r="L65" s="141"/>
      <c r="N65" s="531"/>
      <c r="O65" s="506"/>
    </row>
    <row r="66" spans="1:15" s="379" customFormat="1" x14ac:dyDescent="0.25">
      <c r="D66" s="380"/>
      <c r="F66" s="141"/>
      <c r="G66" s="382"/>
      <c r="H66" s="383"/>
      <c r="K66" s="141"/>
      <c r="N66" s="506"/>
      <c r="O66" s="506"/>
    </row>
    <row r="67" spans="1:15" s="379" customFormat="1" x14ac:dyDescent="0.25">
      <c r="D67" s="380"/>
      <c r="F67" s="141"/>
      <c r="G67" s="382"/>
      <c r="H67" s="383"/>
      <c r="K67" s="141"/>
      <c r="N67" s="506"/>
      <c r="O67" s="506"/>
    </row>
    <row r="68" spans="1:15" s="379" customFormat="1" x14ac:dyDescent="0.25">
      <c r="D68" s="380"/>
      <c r="F68" s="141"/>
      <c r="G68" s="382"/>
      <c r="H68" s="383"/>
      <c r="K68" s="141"/>
      <c r="N68" s="506"/>
      <c r="O68" s="506"/>
    </row>
    <row r="69" spans="1:15" x14ac:dyDescent="0.25">
      <c r="D69" s="67"/>
      <c r="E69"/>
      <c r="F69" s="62"/>
      <c r="G69" s="13"/>
      <c r="H69" s="96"/>
      <c r="I69"/>
      <c r="K69" s="62"/>
      <c r="L69"/>
      <c r="M69" s="62"/>
      <c r="N69" s="507"/>
      <c r="O69" s="507"/>
    </row>
    <row r="70" spans="1:15" x14ac:dyDescent="0.25">
      <c r="A70" t="s">
        <v>351</v>
      </c>
      <c r="D70" s="67"/>
      <c r="E70" s="62"/>
      <c r="F70" s="62"/>
      <c r="G70" s="13"/>
      <c r="H70" s="96"/>
      <c r="I70" s="62"/>
      <c r="J70" s="62"/>
      <c r="K70" s="62"/>
      <c r="L70"/>
      <c r="N70" s="507"/>
      <c r="O70" s="507"/>
    </row>
    <row r="71" spans="1:15" ht="17.25" customHeight="1" x14ac:dyDescent="0.25">
      <c r="D71" s="532" t="s">
        <v>375</v>
      </c>
      <c r="E71" s="62"/>
      <c r="F71" s="62"/>
      <c r="G71" s="13"/>
      <c r="H71" s="96"/>
      <c r="I71" s="62"/>
      <c r="J71" s="62"/>
      <c r="K71" s="62"/>
      <c r="L71"/>
      <c r="N71" s="507"/>
      <c r="O71" s="507"/>
    </row>
    <row r="72" spans="1:15" s="61" customFormat="1" x14ac:dyDescent="0.25">
      <c r="A72" s="61" t="s">
        <v>368</v>
      </c>
      <c r="D72" s="61" t="s">
        <v>369</v>
      </c>
      <c r="E72" s="453"/>
      <c r="F72" s="453"/>
      <c r="G72" s="458"/>
      <c r="H72" s="459"/>
      <c r="I72" s="453"/>
      <c r="J72" s="453"/>
      <c r="K72" s="453"/>
      <c r="N72" s="563"/>
      <c r="O72" s="563"/>
    </row>
    <row r="73" spans="1:15" x14ac:dyDescent="0.25">
      <c r="B73" s="61"/>
      <c r="D73" s="67"/>
      <c r="E73" s="62" t="s">
        <v>366</v>
      </c>
      <c r="F73" s="461">
        <f>F45</f>
        <v>1680</v>
      </c>
      <c r="G73" s="13"/>
      <c r="H73" s="96"/>
      <c r="I73" s="62"/>
      <c r="J73" s="62"/>
      <c r="K73" s="62"/>
      <c r="L73"/>
      <c r="N73" s="507"/>
      <c r="O73" s="507"/>
    </row>
    <row r="74" spans="1:15" x14ac:dyDescent="0.25">
      <c r="A74" s="368" t="s">
        <v>364</v>
      </c>
      <c r="B74" s="460">
        <f>N45</f>
        <v>210.72000000000003</v>
      </c>
      <c r="D74" s="67"/>
      <c r="E74" s="71" t="s">
        <v>360</v>
      </c>
      <c r="F74" s="71">
        <v>10</v>
      </c>
      <c r="G74" s="13"/>
      <c r="H74" s="96"/>
      <c r="I74" s="62"/>
      <c r="J74" s="62"/>
      <c r="K74" s="62"/>
      <c r="L74"/>
    </row>
    <row r="75" spans="1:15" x14ac:dyDescent="0.25">
      <c r="D75" s="67"/>
      <c r="E75" s="62"/>
      <c r="F75" s="62">
        <f>+F74*F73</f>
        <v>16800</v>
      </c>
      <c r="G75" s="13" t="s">
        <v>367</v>
      </c>
      <c r="H75" s="96"/>
      <c r="I75" s="62"/>
      <c r="J75" s="62"/>
      <c r="K75" s="62"/>
      <c r="L75"/>
    </row>
    <row r="76" spans="1:15" x14ac:dyDescent="0.25">
      <c r="D76" s="67"/>
      <c r="E76" s="453" t="s">
        <v>361</v>
      </c>
      <c r="F76" s="453">
        <f>ROUNDUP((F75/300),0)</f>
        <v>56</v>
      </c>
      <c r="G76" s="13"/>
      <c r="H76" s="96"/>
      <c r="I76" s="62"/>
      <c r="J76" s="62"/>
      <c r="K76" s="62"/>
      <c r="L76"/>
    </row>
    <row r="77" spans="1:15" x14ac:dyDescent="0.25">
      <c r="D77" s="67"/>
      <c r="E77" s="62" t="s">
        <v>362</v>
      </c>
      <c r="F77" s="454">
        <f>+F76*F5</f>
        <v>2240</v>
      </c>
      <c r="G77" s="13"/>
      <c r="H77" s="96"/>
      <c r="I77" s="62"/>
      <c r="J77" s="62"/>
      <c r="K77" s="62"/>
      <c r="L77"/>
    </row>
    <row r="78" spans="1:15" x14ac:dyDescent="0.25">
      <c r="D78" s="67"/>
      <c r="E78" s="62"/>
      <c r="F78" s="62"/>
      <c r="G78" s="13"/>
      <c r="H78" s="96"/>
      <c r="I78" s="62"/>
      <c r="J78" s="62"/>
      <c r="K78" s="62"/>
      <c r="L78"/>
    </row>
    <row r="79" spans="1:15" x14ac:dyDescent="0.25">
      <c r="D79" s="455"/>
      <c r="E79" s="456" t="s">
        <v>363</v>
      </c>
      <c r="F79" s="457">
        <f>+F77/10</f>
        <v>224</v>
      </c>
      <c r="G79" s="13"/>
      <c r="H79" s="96"/>
      <c r="I79" s="62"/>
      <c r="J79" s="62"/>
      <c r="K79" s="62"/>
      <c r="L79"/>
    </row>
    <row r="81" spans="1:17" x14ac:dyDescent="0.25">
      <c r="G81"/>
      <c r="H81" s="95"/>
      <c r="N81" s="62"/>
    </row>
    <row r="83" spans="1:17" x14ac:dyDescent="0.25">
      <c r="A83" s="379"/>
      <c r="B83" s="379"/>
      <c r="C83" s="379"/>
      <c r="D83" s="380"/>
      <c r="E83" s="141"/>
      <c r="F83" s="141"/>
      <c r="G83" s="382"/>
      <c r="H83" s="383"/>
      <c r="I83" s="141"/>
      <c r="J83" s="141"/>
      <c r="K83" s="141"/>
      <c r="L83" s="379"/>
      <c r="M83" s="379"/>
      <c r="N83" s="379"/>
      <c r="O83" s="379"/>
      <c r="P83" s="379"/>
      <c r="Q83" s="379"/>
    </row>
    <row r="84" spans="1:17" x14ac:dyDescent="0.25">
      <c r="A84" s="379"/>
      <c r="B84" s="379"/>
      <c r="C84" s="379"/>
      <c r="D84" s="380"/>
      <c r="E84" s="141"/>
      <c r="F84" s="141"/>
      <c r="G84" s="382"/>
      <c r="H84" s="383"/>
      <c r="I84" s="141"/>
      <c r="J84" s="141"/>
      <c r="K84" s="141"/>
      <c r="L84" s="379"/>
      <c r="M84" s="379"/>
      <c r="N84" s="379"/>
      <c r="O84" s="379"/>
      <c r="P84" s="379"/>
      <c r="Q84" s="379"/>
    </row>
    <row r="85" spans="1:17" x14ac:dyDescent="0.25">
      <c r="A85" s="379"/>
      <c r="B85" s="379"/>
      <c r="C85" s="379"/>
      <c r="D85" s="380"/>
      <c r="E85" s="141"/>
      <c r="F85" s="141"/>
      <c r="G85" s="382"/>
      <c r="H85" s="383"/>
      <c r="I85" s="141"/>
      <c r="J85" s="141"/>
      <c r="K85" s="141"/>
      <c r="L85" s="379"/>
      <c r="M85" s="379"/>
      <c r="N85" s="379"/>
      <c r="O85" s="379"/>
      <c r="P85" s="379"/>
      <c r="Q85" s="379"/>
    </row>
    <row r="86" spans="1:17" x14ac:dyDescent="0.25">
      <c r="D86" s="67"/>
      <c r="E86" s="62"/>
      <c r="F86" s="62"/>
      <c r="G86" s="13"/>
      <c r="H86" s="96"/>
      <c r="I86" s="62"/>
      <c r="J86" s="62"/>
      <c r="K86" s="62"/>
      <c r="L86"/>
    </row>
    <row r="87" spans="1:17" x14ac:dyDescent="0.25">
      <c r="D87" s="67"/>
      <c r="E87" s="62"/>
      <c r="F87" s="62"/>
      <c r="G87" s="13"/>
      <c r="H87" s="96"/>
      <c r="I87" s="62"/>
      <c r="J87" s="62"/>
      <c r="K87" s="62"/>
      <c r="L87"/>
    </row>
    <row r="88" spans="1:17" x14ac:dyDescent="0.25">
      <c r="A88" t="s">
        <v>387</v>
      </c>
      <c r="D88" s="67"/>
      <c r="E88" s="62"/>
      <c r="F88" s="62"/>
      <c r="G88" t="s">
        <v>387</v>
      </c>
      <c r="H88"/>
      <c r="I88"/>
      <c r="J88" s="67"/>
      <c r="K88" s="62"/>
      <c r="L88"/>
    </row>
    <row r="89" spans="1:17" x14ac:dyDescent="0.25">
      <c r="A89" t="s">
        <v>388</v>
      </c>
      <c r="D89" s="67"/>
      <c r="E89" s="62"/>
      <c r="F89" s="62"/>
      <c r="G89" s="64" t="s">
        <v>390</v>
      </c>
      <c r="H89"/>
      <c r="I89"/>
      <c r="J89" s="67"/>
      <c r="K89" s="62"/>
      <c r="L89"/>
    </row>
    <row r="90" spans="1:17" x14ac:dyDescent="0.25">
      <c r="D90" s="67"/>
      <c r="E90" s="62"/>
      <c r="F90" s="62"/>
      <c r="G90"/>
      <c r="H90"/>
      <c r="I90"/>
      <c r="J90" s="67"/>
      <c r="K90" s="62"/>
      <c r="L90"/>
    </row>
    <row r="91" spans="1:17" x14ac:dyDescent="0.25">
      <c r="A91" s="587"/>
      <c r="B91" s="587" t="s">
        <v>389</v>
      </c>
      <c r="C91" s="64" t="s">
        <v>113</v>
      </c>
      <c r="D91" s="593" t="s">
        <v>202</v>
      </c>
      <c r="E91" s="588"/>
      <c r="F91" s="588"/>
      <c r="G91" s="587"/>
      <c r="H91" s="587" t="s">
        <v>389</v>
      </c>
      <c r="I91" s="64" t="s">
        <v>113</v>
      </c>
      <c r="J91" s="593" t="s">
        <v>202</v>
      </c>
      <c r="K91" s="588"/>
      <c r="L91" s="587"/>
      <c r="M91" s="587"/>
      <c r="N91" s="587"/>
      <c r="O91" s="587"/>
      <c r="P91" s="587"/>
      <c r="Q91" s="587"/>
    </row>
    <row r="92" spans="1:17" x14ac:dyDescent="0.25">
      <c r="A92" s="599">
        <v>0</v>
      </c>
      <c r="B92" s="66">
        <f>K45</f>
        <v>747</v>
      </c>
      <c r="C92" s="65">
        <f>J45</f>
        <v>536.28</v>
      </c>
      <c r="D92" s="603">
        <f>+B92-C92</f>
        <v>210.72000000000003</v>
      </c>
      <c r="E92" s="588"/>
      <c r="F92" s="588"/>
      <c r="G92" s="599">
        <v>0</v>
      </c>
      <c r="H92" s="602">
        <f>K33</f>
        <v>560</v>
      </c>
      <c r="I92" s="600">
        <f>J33</f>
        <v>408.51</v>
      </c>
      <c r="J92" s="601">
        <f>+H92-I92</f>
        <v>151.49</v>
      </c>
      <c r="K92" s="588"/>
      <c r="L92" s="587"/>
      <c r="M92" s="587"/>
      <c r="N92" s="587"/>
      <c r="O92" s="587"/>
      <c r="P92" s="587"/>
      <c r="Q92" s="587"/>
    </row>
    <row r="93" spans="1:17" x14ac:dyDescent="0.25">
      <c r="A93" s="596">
        <v>0.1</v>
      </c>
      <c r="B93" s="66">
        <f>0.9*B92</f>
        <v>672.30000000000007</v>
      </c>
      <c r="C93" s="65">
        <f>C92</f>
        <v>536.28</v>
      </c>
      <c r="D93" s="603">
        <f t="shared" ref="D93:D96" si="3">+B93-C93</f>
        <v>136.0200000000001</v>
      </c>
      <c r="E93" s="225"/>
      <c r="F93" s="225"/>
      <c r="G93" s="596">
        <v>0.1</v>
      </c>
      <c r="H93" s="587">
        <f>0.9*H92</f>
        <v>504</v>
      </c>
      <c r="I93" s="600">
        <f>I92</f>
        <v>408.51</v>
      </c>
      <c r="J93" s="601">
        <f t="shared" ref="J93:J96" si="4">+H93-I93</f>
        <v>95.490000000000009</v>
      </c>
      <c r="K93" s="225"/>
      <c r="L93" s="64"/>
      <c r="M93" s="64"/>
      <c r="N93" s="64"/>
      <c r="O93" s="64"/>
      <c r="P93" s="64"/>
      <c r="Q93" s="64"/>
    </row>
    <row r="94" spans="1:17" x14ac:dyDescent="0.25">
      <c r="A94" s="597">
        <v>0.15</v>
      </c>
      <c r="B94" s="66">
        <f>+B92*0.85</f>
        <v>634.94999999999993</v>
      </c>
      <c r="C94" s="65">
        <f t="shared" ref="C94:C96" si="5">C93</f>
        <v>536.28</v>
      </c>
      <c r="D94" s="603">
        <f t="shared" si="3"/>
        <v>98.669999999999959</v>
      </c>
      <c r="E94" s="498"/>
      <c r="F94" s="498"/>
      <c r="G94" s="597">
        <v>0.15</v>
      </c>
      <c r="H94" s="587">
        <f>+H92*0.85</f>
        <v>476</v>
      </c>
      <c r="I94" s="600">
        <f t="shared" ref="I94:I96" si="6">I93</f>
        <v>408.51</v>
      </c>
      <c r="J94" s="601">
        <f t="shared" si="4"/>
        <v>67.490000000000009</v>
      </c>
      <c r="K94" s="498"/>
      <c r="L94" s="507"/>
      <c r="M94" s="507"/>
      <c r="N94" s="507"/>
      <c r="O94" s="507"/>
      <c r="P94" s="507"/>
      <c r="Q94" s="507"/>
    </row>
    <row r="95" spans="1:17" x14ac:dyDescent="0.25">
      <c r="A95" s="598">
        <v>0.2</v>
      </c>
      <c r="B95" s="66">
        <f>0.8*B92</f>
        <v>597.6</v>
      </c>
      <c r="C95" s="65">
        <f t="shared" si="5"/>
        <v>536.28</v>
      </c>
      <c r="D95" s="605">
        <f t="shared" si="3"/>
        <v>61.32000000000005</v>
      </c>
      <c r="E95" s="62"/>
      <c r="F95" s="62"/>
      <c r="G95" s="598">
        <v>0.2</v>
      </c>
      <c r="H95" s="587">
        <f>0.8*H92</f>
        <v>448</v>
      </c>
      <c r="I95" s="600">
        <f t="shared" si="6"/>
        <v>408.51</v>
      </c>
      <c r="J95" s="601">
        <f t="shared" si="4"/>
        <v>39.490000000000009</v>
      </c>
      <c r="K95" s="62"/>
      <c r="L95"/>
    </row>
    <row r="96" spans="1:17" x14ac:dyDescent="0.25">
      <c r="A96" s="598">
        <v>0.25</v>
      </c>
      <c r="B96" s="66">
        <f>0.75*B92</f>
        <v>560.25</v>
      </c>
      <c r="C96" s="65">
        <f t="shared" si="5"/>
        <v>536.28</v>
      </c>
      <c r="D96" s="605">
        <f t="shared" si="3"/>
        <v>23.970000000000027</v>
      </c>
      <c r="E96" s="62"/>
      <c r="F96" s="62"/>
      <c r="G96" s="598">
        <v>0.25</v>
      </c>
      <c r="H96" s="587">
        <f>0.755*H92</f>
        <v>422.8</v>
      </c>
      <c r="I96" s="600">
        <f t="shared" si="6"/>
        <v>408.51</v>
      </c>
      <c r="J96" s="601">
        <f t="shared" si="4"/>
        <v>14.29000000000002</v>
      </c>
      <c r="K96" s="62"/>
      <c r="L96"/>
    </row>
  </sheetData>
  <dataValidations count="2">
    <dataValidation type="list" allowBlank="1" showInputMessage="1" showErrorMessage="1" sqref="B29:B32 B41:B44 B53:B56" xr:uid="{65CAD5B0-293A-4EE1-B676-CA28A8B74337}">
      <formula1>$N$1:$N$3</formula1>
    </dataValidation>
    <dataValidation type="list" allowBlank="1" showInputMessage="1" showErrorMessage="1" sqref="B16:B19" xr:uid="{377F5601-D228-48D2-ACED-BEE983BA5A7D}">
      <formula1>$O$1:$O$3</formula1>
    </dataValidation>
  </dataValidations>
  <pageMargins left="0.7" right="0.7" top="0.75" bottom="0.75" header="0.3" footer="0.3"/>
  <pageSetup scale="67" fitToHeight="1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3AE1-BA12-465F-8F25-8C417F270AFB}">
  <sheetPr codeName="Sheet21"/>
  <dimension ref="A1:S85"/>
  <sheetViews>
    <sheetView topLeftCell="A32" workbookViewId="0">
      <selection activeCell="A50" sqref="A50"/>
    </sheetView>
  </sheetViews>
  <sheetFormatPr defaultColWidth="10.625" defaultRowHeight="15.75" x14ac:dyDescent="0.25"/>
  <cols>
    <col min="5" max="5" width="10.625" style="67"/>
    <col min="6" max="6" width="23.375" customWidth="1"/>
    <col min="7" max="7" width="10.625" style="95"/>
    <col min="8" max="8" width="8.625" style="13" bestFit="1" customWidth="1"/>
    <col min="9" max="9" width="10.625" style="96"/>
    <col min="12" max="12" width="10.625" style="62"/>
  </cols>
  <sheetData>
    <row r="1" spans="1:19" ht="30.75" customHeight="1" x14ac:dyDescent="0.55000000000000004">
      <c r="A1" s="234" t="s">
        <v>39</v>
      </c>
      <c r="B1" s="236"/>
      <c r="C1" s="236"/>
      <c r="D1" s="236"/>
      <c r="E1" s="567"/>
      <c r="F1" s="568"/>
      <c r="G1" s="569"/>
      <c r="H1" s="570"/>
      <c r="I1" s="571"/>
      <c r="J1" s="287"/>
      <c r="K1" s="287"/>
      <c r="L1" s="117"/>
      <c r="O1" s="389" t="s">
        <v>203</v>
      </c>
    </row>
    <row r="2" spans="1:19" s="98" customFormat="1" x14ac:dyDescent="0.25">
      <c r="B2" s="87">
        <f>'Pep Costs'!B51</f>
        <v>75</v>
      </c>
      <c r="C2" s="98" t="s">
        <v>142</v>
      </c>
      <c r="E2" s="464"/>
      <c r="F2" s="464"/>
      <c r="G2" s="464"/>
      <c r="H2" s="464"/>
      <c r="I2" s="464"/>
      <c r="J2" s="429"/>
      <c r="K2" s="430"/>
      <c r="L2" s="431"/>
      <c r="M2" s="117"/>
      <c r="O2" s="490" t="s">
        <v>187</v>
      </c>
      <c r="P2" s="117"/>
      <c r="Q2" s="117"/>
      <c r="R2" s="117"/>
      <c r="S2" s="117"/>
    </row>
    <row r="3" spans="1:19" s="98" customFormat="1" x14ac:dyDescent="0.25">
      <c r="B3" s="170">
        <v>3.3</v>
      </c>
      <c r="C3" s="198" t="s">
        <v>185</v>
      </c>
      <c r="E3" s="464"/>
      <c r="F3" s="464"/>
      <c r="G3" s="464"/>
      <c r="H3" s="464"/>
      <c r="I3" s="464"/>
      <c r="J3" s="117"/>
      <c r="K3" s="117"/>
      <c r="L3" s="152"/>
      <c r="M3" s="117"/>
      <c r="O3" s="490" t="s">
        <v>206</v>
      </c>
      <c r="P3" s="117"/>
      <c r="Q3" s="117"/>
      <c r="R3" s="117"/>
      <c r="S3" s="117"/>
    </row>
    <row r="4" spans="1:19" s="98" customFormat="1" ht="28.5" x14ac:dyDescent="0.55000000000000004">
      <c r="B4" s="142">
        <v>15</v>
      </c>
      <c r="C4" s="156" t="s">
        <v>229</v>
      </c>
      <c r="E4" s="465"/>
      <c r="F4" s="573" t="s">
        <v>349</v>
      </c>
      <c r="G4" s="470" t="s">
        <v>144</v>
      </c>
      <c r="H4" s="464"/>
      <c r="I4" s="464"/>
      <c r="J4" s="158"/>
      <c r="K4" s="117"/>
      <c r="L4" s="152"/>
      <c r="M4" s="117"/>
      <c r="O4" s="157"/>
      <c r="P4" s="117"/>
      <c r="Q4" s="117"/>
      <c r="R4" s="117"/>
      <c r="S4" s="117"/>
    </row>
    <row r="5" spans="1:19" s="98" customFormat="1" ht="26.25" x14ac:dyDescent="0.4">
      <c r="A5" s="15"/>
      <c r="B5" s="87">
        <f>SUM(B2:B4)</f>
        <v>93.3</v>
      </c>
      <c r="E5" s="465"/>
      <c r="F5" s="574">
        <v>57</v>
      </c>
      <c r="G5" s="469">
        <f>+F5+B5</f>
        <v>150.30000000000001</v>
      </c>
      <c r="H5" s="464"/>
      <c r="I5" s="464"/>
      <c r="J5" s="158"/>
      <c r="K5" s="117"/>
      <c r="L5" s="152"/>
      <c r="M5" s="117"/>
      <c r="P5" s="117"/>
      <c r="Q5" s="117"/>
      <c r="R5" s="117"/>
      <c r="S5" s="117"/>
    </row>
    <row r="6" spans="1:19" x14ac:dyDescent="0.25">
      <c r="E6" s="567"/>
      <c r="F6" s="567"/>
      <c r="G6" s="572"/>
      <c r="H6" s="569"/>
      <c r="I6" s="570"/>
      <c r="J6" s="96"/>
      <c r="L6"/>
      <c r="M6" s="62"/>
      <c r="N6" t="s">
        <v>421</v>
      </c>
    </row>
    <row r="7" spans="1:19" s="98" customFormat="1" x14ac:dyDescent="0.25">
      <c r="A7" s="62" t="s">
        <v>189</v>
      </c>
      <c r="B7" s="87">
        <f>+B5/300</f>
        <v>0.311</v>
      </c>
      <c r="E7" s="464"/>
      <c r="F7" s="467" t="s">
        <v>189</v>
      </c>
      <c r="G7" s="468">
        <f>+G5/300</f>
        <v>0.501</v>
      </c>
      <c r="H7" s="496"/>
      <c r="I7" s="464"/>
      <c r="J7" s="158"/>
      <c r="K7" s="117"/>
      <c r="L7" s="152"/>
      <c r="M7" s="153"/>
      <c r="N7" s="117" t="s">
        <v>422</v>
      </c>
      <c r="O7" s="117"/>
      <c r="P7" s="117"/>
      <c r="Q7" s="117"/>
      <c r="R7" s="117"/>
      <c r="S7" s="117"/>
    </row>
    <row r="8" spans="1:19" s="117" customFormat="1" x14ac:dyDescent="0.25">
      <c r="A8" s="62"/>
      <c r="B8" s="128"/>
      <c r="E8" s="467"/>
      <c r="F8" s="466"/>
      <c r="G8" s="496"/>
      <c r="H8" s="464"/>
      <c r="I8" s="571"/>
      <c r="K8" s="152"/>
      <c r="L8" s="153"/>
    </row>
    <row r="9" spans="1:19" s="161" customFormat="1" x14ac:dyDescent="0.25">
      <c r="A9" s="141"/>
      <c r="B9" s="160"/>
      <c r="D9" s="307"/>
      <c r="E9" s="238"/>
      <c r="F9" s="239"/>
      <c r="H9" s="164"/>
      <c r="J9" s="165"/>
      <c r="K9" s="166"/>
    </row>
    <row r="10" spans="1:19" s="161" customFormat="1" x14ac:dyDescent="0.25">
      <c r="A10" s="141"/>
      <c r="B10" s="160"/>
      <c r="D10" s="307"/>
      <c r="E10" s="238"/>
      <c r="F10" s="239"/>
      <c r="H10" s="164"/>
      <c r="J10" s="165"/>
      <c r="K10" s="166"/>
    </row>
    <row r="11" spans="1:19" s="241" customFormat="1" x14ac:dyDescent="0.25">
      <c r="A11" s="186"/>
      <c r="B11" s="240"/>
      <c r="D11" s="308"/>
      <c r="E11" s="242"/>
      <c r="F11" s="243"/>
      <c r="H11" s="173"/>
      <c r="J11" s="244"/>
      <c r="K11" s="245"/>
    </row>
    <row r="12" spans="1:19" s="98" customFormat="1" x14ac:dyDescent="0.25">
      <c r="A12" s="15"/>
      <c r="B12" s="87"/>
      <c r="C12" s="80"/>
      <c r="D12" s="115"/>
      <c r="E12" s="116"/>
      <c r="G12" s="117"/>
      <c r="H12" s="80"/>
      <c r="J12" s="152"/>
      <c r="K12" s="153"/>
      <c r="L12" s="117"/>
      <c r="M12" s="117"/>
      <c r="N12" s="117"/>
      <c r="O12" s="117"/>
      <c r="P12" s="117"/>
      <c r="Q12" s="117"/>
    </row>
    <row r="13" spans="1:19" s="98" customFormat="1" x14ac:dyDescent="0.25">
      <c r="A13" s="168" t="s">
        <v>218</v>
      </c>
      <c r="B13" s="87"/>
      <c r="C13" s="80"/>
      <c r="D13" s="115"/>
      <c r="E13" s="116"/>
      <c r="G13" s="117"/>
      <c r="H13" s="80"/>
      <c r="K13" s="280" t="s">
        <v>144</v>
      </c>
      <c r="L13" s="117"/>
      <c r="M13" s="117"/>
      <c r="N13" s="117"/>
      <c r="O13" s="117"/>
      <c r="P13" s="117"/>
      <c r="Q13" s="117"/>
    </row>
    <row r="14" spans="1:19" s="98" customFormat="1" x14ac:dyDescent="0.25">
      <c r="A14" s="15"/>
      <c r="B14" s="121"/>
      <c r="C14" s="80"/>
      <c r="D14" s="115"/>
      <c r="E14" s="116"/>
      <c r="G14" s="117"/>
      <c r="H14" s="118">
        <f>ROUNDUP(F20,0)</f>
        <v>0</v>
      </c>
      <c r="I14" s="119" t="s">
        <v>201</v>
      </c>
      <c r="J14" s="87">
        <f>+B7*F20</f>
        <v>0</v>
      </c>
      <c r="K14" s="264">
        <f>+F20*G7</f>
        <v>0</v>
      </c>
      <c r="L14" s="117"/>
      <c r="M14" s="117"/>
      <c r="N14" s="117"/>
      <c r="O14" s="117"/>
      <c r="P14" s="117"/>
      <c r="Q14" s="117"/>
    </row>
    <row r="15" spans="1:19" s="125" customFormat="1" ht="31.5" x14ac:dyDescent="0.25">
      <c r="A15" s="182"/>
      <c r="B15" s="183" t="s">
        <v>199</v>
      </c>
      <c r="C15" s="184" t="s">
        <v>196</v>
      </c>
      <c r="D15" s="183" t="s">
        <v>197</v>
      </c>
      <c r="E15" s="169" t="s">
        <v>198</v>
      </c>
      <c r="F15" s="185" t="s">
        <v>188</v>
      </c>
      <c r="G15" s="124"/>
      <c r="H15" s="72"/>
      <c r="I15" s="322" t="s">
        <v>177</v>
      </c>
      <c r="J15" s="310">
        <f>+H15*45</f>
        <v>0</v>
      </c>
      <c r="K15" s="311">
        <f>+H15*85</f>
        <v>0</v>
      </c>
      <c r="L15" s="124"/>
      <c r="M15" s="124"/>
      <c r="N15" s="124"/>
      <c r="O15" s="124"/>
      <c r="P15" s="124"/>
      <c r="Q15" s="124"/>
    </row>
    <row r="16" spans="1:19" s="81" customFormat="1" x14ac:dyDescent="0.25">
      <c r="A16" s="306" t="s">
        <v>108</v>
      </c>
      <c r="B16" s="251"/>
      <c r="C16" s="252"/>
      <c r="D16" s="251"/>
      <c r="E16" s="254">
        <v>5</v>
      </c>
      <c r="F16" s="255">
        <f>+D16*E16</f>
        <v>0</v>
      </c>
      <c r="G16" s="83"/>
      <c r="H16" s="80">
        <f>IF(E20&gt;=25, E20+2, E20+1)</f>
        <v>21</v>
      </c>
      <c r="I16" s="62" t="s">
        <v>217</v>
      </c>
      <c r="J16" s="87">
        <f>0.25*H16</f>
        <v>5.25</v>
      </c>
      <c r="K16" s="263"/>
      <c r="L16" s="83"/>
      <c r="M16" s="83"/>
      <c r="N16" s="83"/>
      <c r="O16" s="83"/>
      <c r="P16" s="83"/>
      <c r="Q16" s="83"/>
    </row>
    <row r="17" spans="1:17" s="81" customFormat="1" x14ac:dyDescent="0.25">
      <c r="A17" s="306" t="s">
        <v>109</v>
      </c>
      <c r="B17" s="251"/>
      <c r="C17" s="252"/>
      <c r="D17" s="251"/>
      <c r="E17" s="254">
        <v>5</v>
      </c>
      <c r="F17" s="255">
        <f>+D17*E17</f>
        <v>0</v>
      </c>
      <c r="G17" s="83"/>
      <c r="H17" s="80">
        <f>ROUNDUP(F21,0)</f>
        <v>0</v>
      </c>
      <c r="I17" s="62" t="s">
        <v>190</v>
      </c>
      <c r="J17" s="87">
        <f>+H17*0.8</f>
        <v>0</v>
      </c>
      <c r="K17" s="263"/>
      <c r="L17" s="83"/>
      <c r="M17" s="83"/>
      <c r="N17" s="83"/>
      <c r="O17" s="83"/>
      <c r="P17" s="83"/>
      <c r="Q17" s="83"/>
    </row>
    <row r="18" spans="1:17" s="81" customFormat="1" x14ac:dyDescent="0.25">
      <c r="A18" s="306" t="s">
        <v>110</v>
      </c>
      <c r="B18" s="251"/>
      <c r="C18" s="252"/>
      <c r="D18" s="251"/>
      <c r="E18" s="254">
        <v>5</v>
      </c>
      <c r="F18" s="255">
        <f>+D18*E18</f>
        <v>0</v>
      </c>
      <c r="G18" s="83"/>
      <c r="H18" s="80">
        <f>H16</f>
        <v>21</v>
      </c>
      <c r="I18" s="62" t="s">
        <v>200</v>
      </c>
      <c r="J18" s="87">
        <f>(5/100)*H18</f>
        <v>1.05</v>
      </c>
      <c r="K18" s="263"/>
      <c r="L18" s="83"/>
      <c r="M18" s="503"/>
      <c r="N18" s="503"/>
      <c r="O18" s="83"/>
      <c r="P18" s="83"/>
      <c r="Q18" s="83"/>
    </row>
    <row r="19" spans="1:17" s="81" customFormat="1" x14ac:dyDescent="0.25">
      <c r="A19" s="306" t="s">
        <v>141</v>
      </c>
      <c r="B19" s="251"/>
      <c r="C19" s="252"/>
      <c r="D19" s="251"/>
      <c r="E19" s="254">
        <v>5</v>
      </c>
      <c r="F19" s="255">
        <f>+D19*E19</f>
        <v>0</v>
      </c>
      <c r="G19" s="83"/>
      <c r="H19" s="77">
        <v>0</v>
      </c>
      <c r="I19" s="71" t="s">
        <v>192</v>
      </c>
      <c r="J19" s="142">
        <f>H19*3.65</f>
        <v>0</v>
      </c>
      <c r="K19" s="267"/>
      <c r="L19" s="83"/>
      <c r="M19" s="503"/>
      <c r="N19" s="503"/>
      <c r="O19" s="83"/>
      <c r="P19" s="83"/>
      <c r="Q19" s="83"/>
    </row>
    <row r="20" spans="1:17" s="81" customFormat="1" x14ac:dyDescent="0.25">
      <c r="A20" s="88"/>
      <c r="B20" s="79"/>
      <c r="C20" s="80"/>
      <c r="D20" s="82"/>
      <c r="E20" s="167">
        <f>SUM(E16:E19)</f>
        <v>20</v>
      </c>
      <c r="F20" s="279">
        <f>SUM(F16:F19)</f>
        <v>0</v>
      </c>
      <c r="G20" s="83"/>
      <c r="H20" s="80"/>
      <c r="J20" s="128">
        <f>SUM(J14:J19)</f>
        <v>6.3</v>
      </c>
      <c r="K20" s="269">
        <f>ROUNDUP(SUM(K14:K19),0)</f>
        <v>0</v>
      </c>
      <c r="L20" s="83"/>
      <c r="M20" s="433" t="s">
        <v>202</v>
      </c>
      <c r="N20" s="428">
        <f>+K20-J20</f>
        <v>-6.3</v>
      </c>
      <c r="O20" s="83"/>
      <c r="P20" s="83"/>
      <c r="Q20" s="83"/>
    </row>
    <row r="21" spans="1:17" s="81" customFormat="1" x14ac:dyDescent="0.25">
      <c r="A21" s="88"/>
      <c r="B21" s="79"/>
      <c r="C21" s="80"/>
      <c r="D21" s="82"/>
      <c r="E21" s="89" t="s">
        <v>204</v>
      </c>
      <c r="F21" s="110">
        <f>+F20/300</f>
        <v>0</v>
      </c>
      <c r="G21" s="83"/>
      <c r="H21" s="80"/>
      <c r="I21" s="131" t="s">
        <v>189</v>
      </c>
      <c r="J21" s="113" t="e">
        <f>+J20/H14</f>
        <v>#DIV/0!</v>
      </c>
      <c r="K21" s="112" t="e">
        <f>+K20/H14</f>
        <v>#DIV/0!</v>
      </c>
      <c r="L21" s="83"/>
      <c r="M21" s="503"/>
      <c r="N21" s="503"/>
      <c r="O21" s="83"/>
      <c r="P21" s="83"/>
      <c r="Q21" s="83"/>
    </row>
    <row r="22" spans="1:17" s="81" customFormat="1" x14ac:dyDescent="0.25">
      <c r="A22" s="88"/>
      <c r="B22" s="79"/>
      <c r="C22" s="80"/>
      <c r="D22" s="82"/>
      <c r="E22" s="109"/>
      <c r="G22" s="83"/>
      <c r="H22" s="80"/>
      <c r="I22" s="131"/>
      <c r="J22" s="131"/>
      <c r="K22" s="131"/>
      <c r="L22" s="83"/>
      <c r="M22" s="503"/>
      <c r="N22" s="503"/>
      <c r="O22" s="83"/>
      <c r="P22" s="83"/>
      <c r="Q22" s="83"/>
    </row>
    <row r="23" spans="1:17" s="241" customFormat="1" x14ac:dyDescent="0.25">
      <c r="A23" s="186"/>
      <c r="B23" s="240"/>
      <c r="D23" s="308"/>
      <c r="E23" s="242"/>
      <c r="F23" s="243"/>
      <c r="H23" s="173"/>
      <c r="J23" s="244"/>
      <c r="K23" s="245"/>
      <c r="M23" s="534"/>
      <c r="N23" s="534"/>
    </row>
    <row r="24" spans="1:17" s="161" customFormat="1" x14ac:dyDescent="0.25">
      <c r="A24" s="159"/>
      <c r="B24" s="160"/>
      <c r="D24" s="162"/>
      <c r="E24" s="163"/>
      <c r="H24" s="164"/>
      <c r="J24" s="165"/>
      <c r="K24" s="166"/>
      <c r="M24" s="501"/>
      <c r="N24" s="501"/>
    </row>
    <row r="25" spans="1:17" s="161" customFormat="1" x14ac:dyDescent="0.25">
      <c r="A25" s="159"/>
      <c r="B25" s="160"/>
      <c r="C25" s="164"/>
      <c r="D25" s="162"/>
      <c r="E25" s="163"/>
      <c r="H25" s="164"/>
      <c r="J25" s="165"/>
      <c r="K25" s="166"/>
      <c r="M25" s="501"/>
      <c r="N25" s="501"/>
    </row>
    <row r="26" spans="1:17" s="98" customFormat="1" x14ac:dyDescent="0.25">
      <c r="A26" s="15"/>
      <c r="B26" s="87"/>
      <c r="C26" s="80"/>
      <c r="D26" s="115"/>
      <c r="E26" s="116"/>
      <c r="G26" s="117"/>
      <c r="H26" s="80"/>
      <c r="K26" s="114" t="s">
        <v>144</v>
      </c>
      <c r="L26" s="117"/>
      <c r="M26" s="500"/>
      <c r="N26" s="500"/>
      <c r="O26" s="117"/>
      <c r="P26" s="117"/>
      <c r="Q26" s="117"/>
    </row>
    <row r="27" spans="1:17" s="98" customFormat="1" x14ac:dyDescent="0.25">
      <c r="A27" s="15"/>
      <c r="B27" s="121"/>
      <c r="C27" s="80"/>
      <c r="D27" s="115"/>
      <c r="E27" s="116"/>
      <c r="G27" s="117"/>
      <c r="H27" s="118">
        <f>ROUNDUP(F33,0)</f>
        <v>300</v>
      </c>
      <c r="I27" s="119" t="s">
        <v>201</v>
      </c>
      <c r="J27" s="87">
        <f>+B7*F33</f>
        <v>93.3</v>
      </c>
      <c r="K27" s="120">
        <f>F33*G7</f>
        <v>150.30000000000001</v>
      </c>
      <c r="L27" s="117"/>
      <c r="M27" s="500"/>
      <c r="N27" s="500"/>
      <c r="O27" s="117"/>
      <c r="P27" s="117"/>
      <c r="Q27" s="117"/>
    </row>
    <row r="28" spans="1:17" s="125" customFormat="1" ht="31.5" x14ac:dyDescent="0.25">
      <c r="A28" s="653" t="s">
        <v>266</v>
      </c>
      <c r="B28" s="148" t="s">
        <v>199</v>
      </c>
      <c r="C28" s="149" t="s">
        <v>196</v>
      </c>
      <c r="D28" s="148" t="s">
        <v>197</v>
      </c>
      <c r="E28" s="122" t="s">
        <v>198</v>
      </c>
      <c r="F28" s="150" t="s">
        <v>188</v>
      </c>
      <c r="G28" s="124"/>
      <c r="H28" s="302">
        <v>0</v>
      </c>
      <c r="I28" s="62" t="s">
        <v>177</v>
      </c>
      <c r="J28" s="87">
        <f>+H28*45</f>
        <v>0</v>
      </c>
      <c r="K28" s="93">
        <f>+H28*85</f>
        <v>0</v>
      </c>
      <c r="L28" s="124"/>
      <c r="M28" s="502"/>
      <c r="N28" s="633">
        <v>0.1</v>
      </c>
      <c r="O28" s="636">
        <f>+K33*0.9</f>
        <v>270</v>
      </c>
      <c r="P28" s="634">
        <f>J33</f>
        <v>104.05</v>
      </c>
      <c r="Q28" s="635">
        <f>+O28-P28</f>
        <v>165.95</v>
      </c>
    </row>
    <row r="29" spans="1:17" s="81" customFormat="1" x14ac:dyDescent="0.25">
      <c r="A29" s="78" t="s">
        <v>108</v>
      </c>
      <c r="B29" s="199" t="s">
        <v>203</v>
      </c>
      <c r="C29" s="303" t="s">
        <v>354</v>
      </c>
      <c r="D29" s="199">
        <v>15</v>
      </c>
      <c r="E29" s="145">
        <v>5</v>
      </c>
      <c r="F29" s="146">
        <f>+D29*E29</f>
        <v>75</v>
      </c>
      <c r="G29" s="83"/>
      <c r="H29" s="80">
        <f>IF(E33&gt;=25, E33+2, E33+1)</f>
        <v>21</v>
      </c>
      <c r="I29" s="62" t="s">
        <v>217</v>
      </c>
      <c r="J29" s="87">
        <f>0.25*H29</f>
        <v>5.25</v>
      </c>
      <c r="K29" s="93"/>
      <c r="L29" s="83"/>
      <c r="M29" s="503"/>
      <c r="N29" s="633">
        <v>0.15</v>
      </c>
      <c r="O29" s="290">
        <f>0.85*K33</f>
        <v>255</v>
      </c>
      <c r="P29" s="128">
        <f>J33</f>
        <v>104.05</v>
      </c>
      <c r="Q29" s="427">
        <f>+O29-P29</f>
        <v>150.94999999999999</v>
      </c>
    </row>
    <row r="30" spans="1:17" s="81" customFormat="1" x14ac:dyDescent="0.25">
      <c r="A30" s="78" t="s">
        <v>109</v>
      </c>
      <c r="B30" s="199" t="s">
        <v>203</v>
      </c>
      <c r="C30" s="303" t="s">
        <v>354</v>
      </c>
      <c r="D30" s="199">
        <v>15</v>
      </c>
      <c r="E30" s="147">
        <v>5</v>
      </c>
      <c r="F30" s="146">
        <f t="shared" ref="F30:F32" si="0">+D30*E30</f>
        <v>75</v>
      </c>
      <c r="G30" s="83"/>
      <c r="H30" s="80">
        <f>ROUNDUP(F34,0)</f>
        <v>1</v>
      </c>
      <c r="I30" s="62" t="s">
        <v>190</v>
      </c>
      <c r="J30" s="87">
        <f>+H30*0.8</f>
        <v>0.8</v>
      </c>
      <c r="K30" s="93"/>
      <c r="L30" s="83"/>
      <c r="M30" s="503"/>
      <c r="N30" s="633">
        <v>0.2</v>
      </c>
      <c r="O30" s="290">
        <f>0.8*K33</f>
        <v>240</v>
      </c>
      <c r="P30" s="634">
        <f>J33</f>
        <v>104.05</v>
      </c>
      <c r="Q30" s="427">
        <f>+O30-P30</f>
        <v>135.94999999999999</v>
      </c>
    </row>
    <row r="31" spans="1:17" s="81" customFormat="1" x14ac:dyDescent="0.25">
      <c r="A31" s="78" t="s">
        <v>110</v>
      </c>
      <c r="B31" s="199" t="s">
        <v>203</v>
      </c>
      <c r="C31" s="303" t="s">
        <v>354</v>
      </c>
      <c r="D31" s="199">
        <v>15</v>
      </c>
      <c r="E31" s="147">
        <v>5</v>
      </c>
      <c r="F31" s="146">
        <f t="shared" si="0"/>
        <v>75</v>
      </c>
      <c r="G31" s="83"/>
      <c r="H31" s="80">
        <f>H29</f>
        <v>21</v>
      </c>
      <c r="I31" s="62" t="s">
        <v>200</v>
      </c>
      <c r="J31" s="87">
        <f>(5/100)*H31</f>
        <v>1.05</v>
      </c>
      <c r="K31" s="93"/>
      <c r="L31" s="83"/>
      <c r="M31" s="503"/>
      <c r="N31" s="633">
        <v>0.25</v>
      </c>
      <c r="O31" s="290">
        <f>0.75*K33</f>
        <v>225</v>
      </c>
      <c r="P31" s="128">
        <f>J33</f>
        <v>104.05</v>
      </c>
      <c r="Q31" s="427">
        <f>+O31-P31</f>
        <v>120.95</v>
      </c>
    </row>
    <row r="32" spans="1:17" s="81" customFormat="1" x14ac:dyDescent="0.25">
      <c r="A32" s="100" t="s">
        <v>141</v>
      </c>
      <c r="B32" s="101" t="s">
        <v>203</v>
      </c>
      <c r="C32" s="425" t="s">
        <v>354</v>
      </c>
      <c r="D32" s="101">
        <v>15</v>
      </c>
      <c r="E32" s="144">
        <v>5</v>
      </c>
      <c r="F32" s="103">
        <f t="shared" si="0"/>
        <v>75</v>
      </c>
      <c r="G32" s="83"/>
      <c r="H32" s="303">
        <v>1</v>
      </c>
      <c r="I32" s="71" t="s">
        <v>192</v>
      </c>
      <c r="J32" s="142">
        <f>H32*3.65</f>
        <v>3.65</v>
      </c>
      <c r="K32" s="143"/>
      <c r="L32" s="83"/>
      <c r="M32" s="503"/>
      <c r="N32" s="503"/>
      <c r="O32" s="632"/>
      <c r="P32" s="83"/>
      <c r="Q32" s="83"/>
    </row>
    <row r="33" spans="1:17" s="81" customFormat="1" x14ac:dyDescent="0.25">
      <c r="A33" s="88"/>
      <c r="B33" s="79"/>
      <c r="C33" s="80"/>
      <c r="D33" s="82"/>
      <c r="E33" s="126">
        <f>SUM(E29:E32)</f>
        <v>20</v>
      </c>
      <c r="F33" s="127">
        <f>SUM(F29:F32)</f>
        <v>300</v>
      </c>
      <c r="G33" s="83"/>
      <c r="H33" s="80"/>
      <c r="J33" s="128">
        <f>SUM(J27:J32)</f>
        <v>104.05</v>
      </c>
      <c r="K33" s="129">
        <v>300</v>
      </c>
      <c r="L33" s="83"/>
      <c r="M33" s="433" t="s">
        <v>202</v>
      </c>
      <c r="N33" s="428">
        <f>+K33-J33</f>
        <v>195.95</v>
      </c>
      <c r="O33" s="83"/>
      <c r="P33" s="83"/>
      <c r="Q33" s="83"/>
    </row>
    <row r="34" spans="1:17" s="81" customFormat="1" x14ac:dyDescent="0.25">
      <c r="A34" s="88"/>
      <c r="B34" s="79"/>
      <c r="C34" s="80"/>
      <c r="D34" s="82"/>
      <c r="E34" s="89" t="s">
        <v>204</v>
      </c>
      <c r="F34" s="110">
        <f>+F33/300</f>
        <v>1</v>
      </c>
      <c r="G34" s="83"/>
      <c r="H34" s="80"/>
      <c r="I34" s="131" t="s">
        <v>189</v>
      </c>
      <c r="J34" s="113">
        <f>+J33/H27</f>
        <v>0.34683333333333333</v>
      </c>
      <c r="K34" s="112">
        <f>+K33/H27</f>
        <v>1</v>
      </c>
      <c r="L34" s="83"/>
      <c r="M34" s="503"/>
      <c r="N34" s="503"/>
      <c r="O34" s="83"/>
      <c r="P34" s="83"/>
      <c r="Q34" s="83"/>
    </row>
    <row r="35" spans="1:17" s="81" customFormat="1" x14ac:dyDescent="0.25">
      <c r="A35" s="88"/>
      <c r="B35" s="79"/>
      <c r="C35" s="80"/>
      <c r="D35" s="82"/>
      <c r="E35" s="109"/>
      <c r="G35" s="83"/>
      <c r="H35" s="80"/>
      <c r="I35" s="131"/>
      <c r="J35" s="131"/>
      <c r="K35" s="131"/>
      <c r="L35" s="83"/>
      <c r="M35" s="503"/>
      <c r="N35" s="503"/>
      <c r="O35" s="83"/>
      <c r="P35" s="83"/>
      <c r="Q35" s="83"/>
    </row>
    <row r="36" spans="1:17" s="640" customFormat="1" x14ac:dyDescent="0.25">
      <c r="A36" s="226"/>
      <c r="B36" s="637"/>
      <c r="C36" s="578"/>
      <c r="D36" s="638"/>
      <c r="E36" s="639"/>
      <c r="H36" s="578"/>
      <c r="J36" s="641"/>
      <c r="K36" s="642"/>
      <c r="M36" s="643"/>
      <c r="N36" s="643"/>
    </row>
    <row r="37" spans="1:17" s="98" customFormat="1" x14ac:dyDescent="0.25">
      <c r="A37" s="15"/>
      <c r="B37" s="87"/>
      <c r="C37" s="80"/>
      <c r="D37" s="115"/>
      <c r="E37" s="116"/>
      <c r="G37" s="117"/>
      <c r="H37" s="80"/>
      <c r="K37" s="114" t="s">
        <v>144</v>
      </c>
      <c r="L37" s="117"/>
      <c r="M37" s="500"/>
      <c r="N37" s="500"/>
      <c r="O37" s="117"/>
      <c r="P37" s="117"/>
      <c r="Q37" s="117"/>
    </row>
    <row r="38" spans="1:17" s="98" customFormat="1" x14ac:dyDescent="0.25">
      <c r="A38" s="15"/>
      <c r="B38" s="121"/>
      <c r="C38" s="80"/>
      <c r="D38" s="115"/>
      <c r="E38" s="116"/>
      <c r="G38" s="117"/>
      <c r="H38" s="118">
        <f>ROUNDUP(F44,0)</f>
        <v>600</v>
      </c>
      <c r="I38" s="119" t="s">
        <v>201</v>
      </c>
      <c r="J38" s="87">
        <f>+B18*F44</f>
        <v>0</v>
      </c>
      <c r="K38" s="120">
        <f>F44*G18</f>
        <v>0</v>
      </c>
      <c r="L38" s="117"/>
      <c r="M38" s="500"/>
      <c r="N38" s="500"/>
      <c r="O38" s="117"/>
      <c r="P38" s="117"/>
      <c r="Q38" s="117"/>
    </row>
    <row r="39" spans="1:17" s="125" customFormat="1" ht="31.5" x14ac:dyDescent="0.25">
      <c r="A39" s="653" t="s">
        <v>268</v>
      </c>
      <c r="B39" s="148" t="s">
        <v>199</v>
      </c>
      <c r="C39" s="149" t="s">
        <v>196</v>
      </c>
      <c r="D39" s="148" t="s">
        <v>197</v>
      </c>
      <c r="E39" s="122" t="s">
        <v>198</v>
      </c>
      <c r="F39" s="150" t="s">
        <v>188</v>
      </c>
      <c r="G39" s="124"/>
      <c r="H39" s="302">
        <v>0</v>
      </c>
      <c r="I39" s="62" t="s">
        <v>177</v>
      </c>
      <c r="J39" s="87">
        <f>+H39*45</f>
        <v>0</v>
      </c>
      <c r="K39" s="93">
        <f>+H39*85</f>
        <v>0</v>
      </c>
      <c r="L39" s="124"/>
      <c r="M39" s="502"/>
      <c r="N39" s="633">
        <v>0.1</v>
      </c>
      <c r="O39" s="636">
        <f>+K44*0.9</f>
        <v>270</v>
      </c>
      <c r="P39" s="634">
        <f>J44</f>
        <v>11.549999999999999</v>
      </c>
      <c r="Q39" s="635">
        <f>+O39-P39</f>
        <v>258.45</v>
      </c>
    </row>
    <row r="40" spans="1:17" s="81" customFormat="1" x14ac:dyDescent="0.25">
      <c r="A40" s="193" t="s">
        <v>207</v>
      </c>
      <c r="B40" s="199" t="s">
        <v>203</v>
      </c>
      <c r="C40" s="303" t="s">
        <v>463</v>
      </c>
      <c r="D40" s="199">
        <v>30</v>
      </c>
      <c r="E40" s="145">
        <v>5</v>
      </c>
      <c r="F40" s="146">
        <f>+D40*E40</f>
        <v>150</v>
      </c>
      <c r="G40" s="83"/>
      <c r="H40" s="80">
        <f>IF(E44&gt;=25, E44+2, E44+1)</f>
        <v>21</v>
      </c>
      <c r="I40" s="62" t="s">
        <v>217</v>
      </c>
      <c r="J40" s="87">
        <f>0.25*H40</f>
        <v>5.25</v>
      </c>
      <c r="K40" s="93"/>
      <c r="L40" s="83"/>
      <c r="M40" s="503"/>
      <c r="N40" s="633">
        <v>0.15</v>
      </c>
      <c r="O40" s="290">
        <f>0.85*K44</f>
        <v>255</v>
      </c>
      <c r="P40" s="128">
        <f>J44</f>
        <v>11.549999999999999</v>
      </c>
      <c r="Q40" s="427">
        <f>+O40-P40</f>
        <v>243.45</v>
      </c>
    </row>
    <row r="41" spans="1:17" s="81" customFormat="1" x14ac:dyDescent="0.25">
      <c r="A41" s="193" t="s">
        <v>207</v>
      </c>
      <c r="B41" s="199" t="s">
        <v>203</v>
      </c>
      <c r="C41" s="303" t="s">
        <v>463</v>
      </c>
      <c r="D41" s="199">
        <v>30</v>
      </c>
      <c r="E41" s="147">
        <v>5</v>
      </c>
      <c r="F41" s="146">
        <f t="shared" ref="F41:F43" si="1">+D41*E41</f>
        <v>150</v>
      </c>
      <c r="G41" s="83"/>
      <c r="H41" s="80">
        <f>ROUNDUP(F45,0)</f>
        <v>2</v>
      </c>
      <c r="I41" s="62" t="s">
        <v>190</v>
      </c>
      <c r="J41" s="87">
        <f>+H41*0.8</f>
        <v>1.6</v>
      </c>
      <c r="K41" s="93"/>
      <c r="L41" s="83"/>
      <c r="M41" s="503"/>
      <c r="N41" s="633">
        <v>0.2</v>
      </c>
      <c r="O41" s="290">
        <f>0.8*K44</f>
        <v>240</v>
      </c>
      <c r="P41" s="634">
        <f>J44</f>
        <v>11.549999999999999</v>
      </c>
      <c r="Q41" s="427">
        <f>+O41-P41</f>
        <v>228.45</v>
      </c>
    </row>
    <row r="42" spans="1:17" s="81" customFormat="1" x14ac:dyDescent="0.25">
      <c r="A42" s="193" t="s">
        <v>209</v>
      </c>
      <c r="B42" s="199" t="s">
        <v>203</v>
      </c>
      <c r="C42" s="303" t="s">
        <v>463</v>
      </c>
      <c r="D42" s="199">
        <v>30</v>
      </c>
      <c r="E42" s="147">
        <v>5</v>
      </c>
      <c r="F42" s="146">
        <f t="shared" si="1"/>
        <v>150</v>
      </c>
      <c r="G42" s="83"/>
      <c r="H42" s="80">
        <f>H40</f>
        <v>21</v>
      </c>
      <c r="I42" s="62" t="s">
        <v>200</v>
      </c>
      <c r="J42" s="87">
        <f>(5/100)*H42</f>
        <v>1.05</v>
      </c>
      <c r="K42" s="93"/>
      <c r="L42" s="83"/>
      <c r="M42" s="503"/>
      <c r="N42" s="633">
        <v>0.25</v>
      </c>
      <c r="O42" s="290">
        <f>0.75*K44</f>
        <v>225</v>
      </c>
      <c r="P42" s="128">
        <f>J44</f>
        <v>11.549999999999999</v>
      </c>
      <c r="Q42" s="427">
        <f>+O42-P42</f>
        <v>213.45</v>
      </c>
    </row>
    <row r="43" spans="1:17" s="81" customFormat="1" x14ac:dyDescent="0.25">
      <c r="A43" s="195" t="s">
        <v>210</v>
      </c>
      <c r="B43" s="101" t="s">
        <v>203</v>
      </c>
      <c r="C43" s="425" t="s">
        <v>463</v>
      </c>
      <c r="D43" s="101">
        <v>30</v>
      </c>
      <c r="E43" s="144">
        <v>5</v>
      </c>
      <c r="F43" s="103">
        <f t="shared" si="1"/>
        <v>150</v>
      </c>
      <c r="G43" s="83"/>
      <c r="H43" s="303">
        <v>1</v>
      </c>
      <c r="I43" s="71" t="s">
        <v>192</v>
      </c>
      <c r="J43" s="142">
        <f>H43*3.65</f>
        <v>3.65</v>
      </c>
      <c r="K43" s="143"/>
      <c r="L43" s="83"/>
      <c r="M43" s="503"/>
      <c r="N43" s="503"/>
      <c r="O43" s="632"/>
      <c r="P43" s="83"/>
      <c r="Q43" s="83"/>
    </row>
    <row r="44" spans="1:17" s="81" customFormat="1" x14ac:dyDescent="0.25">
      <c r="A44" s="88"/>
      <c r="B44" s="79"/>
      <c r="C44" s="80"/>
      <c r="D44" s="82"/>
      <c r="E44" s="126">
        <f>SUM(E40:E43)</f>
        <v>20</v>
      </c>
      <c r="F44" s="127">
        <f>SUM(F40:F43)</f>
        <v>600</v>
      </c>
      <c r="G44" s="83"/>
      <c r="H44" s="80"/>
      <c r="J44" s="128">
        <f>SUM(J38:J43)</f>
        <v>11.549999999999999</v>
      </c>
      <c r="K44" s="129">
        <v>300</v>
      </c>
      <c r="L44" s="83"/>
      <c r="M44" s="433" t="s">
        <v>202</v>
      </c>
      <c r="N44" s="428">
        <f>+K44-J44</f>
        <v>288.45</v>
      </c>
      <c r="O44" s="83"/>
      <c r="P44" s="83"/>
      <c r="Q44" s="83"/>
    </row>
    <row r="45" spans="1:17" s="81" customFormat="1" x14ac:dyDescent="0.25">
      <c r="A45" s="88"/>
      <c r="B45" s="79"/>
      <c r="C45" s="80"/>
      <c r="D45" s="82"/>
      <c r="E45" s="89" t="s">
        <v>204</v>
      </c>
      <c r="F45" s="110">
        <f>+F44/300</f>
        <v>2</v>
      </c>
      <c r="G45" s="83"/>
      <c r="H45" s="80"/>
      <c r="I45" s="131" t="s">
        <v>189</v>
      </c>
      <c r="J45" s="113">
        <f>+J44/H38</f>
        <v>1.925E-2</v>
      </c>
      <c r="K45" s="112">
        <f>+K44/H38</f>
        <v>0.5</v>
      </c>
      <c r="L45" s="83"/>
      <c r="M45" s="503"/>
      <c r="N45" s="503"/>
      <c r="O45" s="83"/>
      <c r="P45" s="83"/>
      <c r="Q45" s="83"/>
    </row>
    <row r="46" spans="1:17" s="81" customFormat="1" x14ac:dyDescent="0.25">
      <c r="A46" s="88"/>
      <c r="B46" s="79"/>
      <c r="C46" s="80"/>
      <c r="D46" s="82"/>
      <c r="E46" s="109"/>
      <c r="G46" s="83"/>
      <c r="H46" s="80"/>
      <c r="I46" s="131"/>
      <c r="J46" s="131"/>
      <c r="K46" s="131"/>
      <c r="L46" s="83"/>
      <c r="M46" s="503"/>
      <c r="N46" s="503"/>
      <c r="O46" s="83"/>
      <c r="P46" s="83"/>
      <c r="Q46" s="83"/>
    </row>
    <row r="47" spans="1:17" s="640" customFormat="1" x14ac:dyDescent="0.25">
      <c r="A47" s="226"/>
      <c r="B47" s="637"/>
      <c r="C47" s="578"/>
      <c r="D47" s="638"/>
      <c r="E47" s="639"/>
      <c r="H47" s="578"/>
      <c r="J47" s="641"/>
      <c r="K47" s="642"/>
      <c r="M47" s="643"/>
      <c r="N47" s="643"/>
    </row>
    <row r="48" spans="1:17" s="81" customFormat="1" x14ac:dyDescent="0.25">
      <c r="A48" s="88"/>
      <c r="B48" s="79"/>
      <c r="C48" s="80"/>
      <c r="D48" s="82"/>
      <c r="E48" s="109"/>
      <c r="G48" s="83"/>
      <c r="H48" s="80"/>
      <c r="I48" s="131"/>
      <c r="J48" s="131"/>
      <c r="K48" s="131"/>
      <c r="L48" s="83"/>
      <c r="M48" s="503"/>
      <c r="N48" s="503"/>
      <c r="O48" s="83"/>
      <c r="P48" s="83"/>
      <c r="Q48" s="83"/>
    </row>
    <row r="49" spans="1:17" s="81" customFormat="1" x14ac:dyDescent="0.25">
      <c r="A49" s="88" t="s">
        <v>494</v>
      </c>
      <c r="B49" s="79"/>
      <c r="C49" s="80"/>
      <c r="D49" s="82"/>
      <c r="E49" s="109"/>
      <c r="G49" s="83"/>
      <c r="H49" s="80"/>
      <c r="I49" s="131"/>
      <c r="J49" s="131"/>
      <c r="K49" s="131"/>
      <c r="L49" s="83"/>
      <c r="M49" s="503"/>
      <c r="N49" s="503"/>
      <c r="O49" s="83"/>
      <c r="P49" s="83"/>
      <c r="Q49" s="83"/>
    </row>
    <row r="50" spans="1:17" s="81" customFormat="1" x14ac:dyDescent="0.25">
      <c r="A50" s="88"/>
      <c r="B50" s="79"/>
      <c r="C50" s="80"/>
      <c r="D50" s="82"/>
      <c r="E50" s="109"/>
      <c r="G50" s="83"/>
      <c r="H50" s="80"/>
      <c r="I50" s="131"/>
      <c r="J50" s="131"/>
      <c r="K50" s="131"/>
      <c r="L50" s="83"/>
      <c r="M50" s="503"/>
      <c r="N50" s="503"/>
      <c r="O50" s="83"/>
      <c r="P50" s="83"/>
      <c r="Q50" s="83"/>
    </row>
    <row r="51" spans="1:17" s="81" customFormat="1" x14ac:dyDescent="0.25">
      <c r="A51" s="88"/>
      <c r="B51" s="79"/>
      <c r="C51" s="80"/>
      <c r="D51" s="82"/>
      <c r="E51" s="109"/>
      <c r="G51" s="83"/>
      <c r="H51" s="80"/>
      <c r="I51" s="131"/>
      <c r="J51" s="131"/>
      <c r="K51" s="131"/>
      <c r="L51" s="83"/>
      <c r="M51" s="503"/>
      <c r="N51" s="503"/>
      <c r="O51" s="83"/>
      <c r="P51" s="83"/>
      <c r="Q51" s="83"/>
    </row>
    <row r="52" spans="1:17" s="81" customFormat="1" x14ac:dyDescent="0.25">
      <c r="A52" s="88"/>
      <c r="B52" s="79"/>
      <c r="C52" s="80"/>
      <c r="D52" s="82"/>
      <c r="E52" s="109"/>
      <c r="G52" s="83"/>
      <c r="H52" s="80"/>
      <c r="I52" s="131"/>
      <c r="J52" s="131"/>
      <c r="K52" s="131"/>
      <c r="L52" s="83"/>
      <c r="M52" s="503"/>
      <c r="N52" s="503"/>
      <c r="O52" s="83"/>
      <c r="P52" s="83"/>
      <c r="Q52" s="83"/>
    </row>
    <row r="53" spans="1:17" s="81" customFormat="1" x14ac:dyDescent="0.25">
      <c r="A53" s="88"/>
      <c r="B53" s="79"/>
      <c r="C53" s="80"/>
      <c r="D53" s="82"/>
      <c r="E53" s="109"/>
      <c r="G53" s="83"/>
      <c r="H53" s="80"/>
      <c r="I53" s="131"/>
      <c r="J53" s="131"/>
      <c r="K53" s="131"/>
      <c r="L53" s="83"/>
      <c r="M53" s="503"/>
      <c r="N53" s="503"/>
      <c r="O53" s="83"/>
      <c r="P53" s="83"/>
      <c r="Q53" s="83"/>
    </row>
    <row r="54" spans="1:17" s="379" customFormat="1" x14ac:dyDescent="0.25">
      <c r="E54" s="380"/>
      <c r="G54" s="381"/>
      <c r="H54" s="382"/>
      <c r="I54" s="383"/>
      <c r="L54" s="141"/>
      <c r="N54" s="531"/>
      <c r="O54" s="506"/>
    </row>
    <row r="55" spans="1:17" s="379" customFormat="1" x14ac:dyDescent="0.25">
      <c r="D55" s="380"/>
      <c r="F55" s="141"/>
      <c r="G55" s="382"/>
      <c r="H55" s="383"/>
      <c r="K55" s="141"/>
      <c r="N55" s="506"/>
      <c r="O55" s="506"/>
    </row>
    <row r="56" spans="1:17" s="379" customFormat="1" x14ac:dyDescent="0.25">
      <c r="D56" s="380"/>
      <c r="F56" s="141"/>
      <c r="G56" s="382"/>
      <c r="H56" s="383"/>
      <c r="K56" s="141"/>
      <c r="N56" s="506"/>
      <c r="O56" s="506"/>
    </row>
    <row r="57" spans="1:17" s="379" customFormat="1" x14ac:dyDescent="0.25">
      <c r="D57" s="380"/>
      <c r="F57" s="141"/>
      <c r="G57" s="382"/>
      <c r="H57" s="383"/>
      <c r="K57" s="141"/>
      <c r="N57" s="506"/>
      <c r="O57" s="506"/>
    </row>
    <row r="58" spans="1:17" x14ac:dyDescent="0.25">
      <c r="D58" s="67"/>
      <c r="E58"/>
      <c r="F58" s="62"/>
      <c r="G58" s="13"/>
      <c r="H58" s="96"/>
      <c r="I58"/>
      <c r="K58" s="62"/>
      <c r="L58"/>
      <c r="M58" s="62"/>
      <c r="N58" s="507"/>
      <c r="O58" s="507"/>
    </row>
    <row r="59" spans="1:17" x14ac:dyDescent="0.25">
      <c r="A59" t="s">
        <v>351</v>
      </c>
      <c r="D59" s="67"/>
      <c r="E59" s="62"/>
      <c r="F59" s="62"/>
      <c r="G59" s="13"/>
      <c r="H59" s="96"/>
      <c r="I59" s="62"/>
      <c r="J59" s="62"/>
      <c r="K59" s="62"/>
      <c r="L59"/>
      <c r="N59" s="507"/>
      <c r="O59" s="507"/>
    </row>
    <row r="60" spans="1:17" ht="17.25" customHeight="1" x14ac:dyDescent="0.25">
      <c r="D60" s="532" t="s">
        <v>375</v>
      </c>
      <c r="E60" s="62"/>
      <c r="F60" s="62"/>
      <c r="G60" s="13"/>
      <c r="H60" s="96"/>
      <c r="I60" s="62"/>
      <c r="J60" s="62"/>
      <c r="K60" s="62"/>
      <c r="L60"/>
      <c r="N60" s="507"/>
      <c r="O60" s="507"/>
    </row>
    <row r="61" spans="1:17" s="61" customFormat="1" x14ac:dyDescent="0.25">
      <c r="A61" s="61" t="s">
        <v>368</v>
      </c>
      <c r="D61" s="61" t="s">
        <v>369</v>
      </c>
      <c r="E61" s="453"/>
      <c r="F61" s="453"/>
      <c r="G61" s="458"/>
      <c r="H61" s="459"/>
      <c r="I61" s="453"/>
      <c r="J61" s="453"/>
      <c r="K61" s="453"/>
      <c r="N61" s="563"/>
      <c r="O61" s="563"/>
    </row>
    <row r="62" spans="1:17" x14ac:dyDescent="0.25">
      <c r="B62" s="61"/>
      <c r="D62" s="67"/>
      <c r="E62" s="62" t="s">
        <v>366</v>
      </c>
      <c r="F62" s="461" t="e">
        <f>#REF!</f>
        <v>#REF!</v>
      </c>
      <c r="G62" s="13"/>
      <c r="H62" s="96"/>
      <c r="I62" s="62"/>
      <c r="J62" s="62"/>
      <c r="K62" s="62"/>
      <c r="L62"/>
      <c r="N62" s="507"/>
      <c r="O62" s="507"/>
    </row>
    <row r="63" spans="1:17" x14ac:dyDescent="0.25">
      <c r="A63" s="368" t="s">
        <v>364</v>
      </c>
      <c r="B63" s="460" t="e">
        <f>#REF!</f>
        <v>#REF!</v>
      </c>
      <c r="D63" s="67"/>
      <c r="E63" s="71" t="s">
        <v>360</v>
      </c>
      <c r="F63" s="71">
        <v>10</v>
      </c>
      <c r="G63" s="13"/>
      <c r="H63" s="96"/>
      <c r="I63" s="62"/>
      <c r="J63" s="62"/>
      <c r="K63" s="62"/>
      <c r="L63"/>
    </row>
    <row r="64" spans="1:17" x14ac:dyDescent="0.25">
      <c r="D64" s="67"/>
      <c r="E64" s="62"/>
      <c r="F64" s="62" t="e">
        <f>+F63*F62</f>
        <v>#REF!</v>
      </c>
      <c r="G64" s="13" t="s">
        <v>367</v>
      </c>
      <c r="H64" s="96"/>
      <c r="I64" s="62"/>
      <c r="J64" s="62"/>
      <c r="K64" s="62"/>
      <c r="L64"/>
    </row>
    <row r="65" spans="1:17" x14ac:dyDescent="0.25">
      <c r="D65" s="67"/>
      <c r="E65" s="453" t="s">
        <v>361</v>
      </c>
      <c r="F65" s="453" t="e">
        <f>ROUNDUP((F64/300),0)</f>
        <v>#REF!</v>
      </c>
      <c r="G65" s="13"/>
      <c r="H65" s="96"/>
      <c r="I65" s="62"/>
      <c r="J65" s="62"/>
      <c r="K65" s="62"/>
      <c r="L65"/>
    </row>
    <row r="66" spans="1:17" x14ac:dyDescent="0.25">
      <c r="D66" s="67"/>
      <c r="E66" s="62" t="s">
        <v>362</v>
      </c>
      <c r="F66" s="454" t="e">
        <f>+F65*F5</f>
        <v>#REF!</v>
      </c>
      <c r="G66" s="13"/>
      <c r="H66" s="96"/>
      <c r="I66" s="62"/>
      <c r="J66" s="62"/>
      <c r="K66" s="62"/>
      <c r="L66"/>
    </row>
    <row r="67" spans="1:17" x14ac:dyDescent="0.25">
      <c r="D67" s="67"/>
      <c r="E67" s="62"/>
      <c r="F67" s="62"/>
      <c r="G67" s="13"/>
      <c r="H67" s="96"/>
      <c r="I67" s="62"/>
      <c r="J67" s="62"/>
      <c r="K67" s="62"/>
      <c r="L67"/>
    </row>
    <row r="68" spans="1:17" x14ac:dyDescent="0.25">
      <c r="D68" s="455"/>
      <c r="E68" s="456" t="s">
        <v>363</v>
      </c>
      <c r="F68" s="457" t="e">
        <f>+F66/10</f>
        <v>#REF!</v>
      </c>
      <c r="G68" s="13"/>
      <c r="H68" s="96"/>
      <c r="I68" s="62"/>
      <c r="J68" s="62"/>
      <c r="K68" s="62"/>
      <c r="L68"/>
    </row>
    <row r="70" spans="1:17" x14ac:dyDescent="0.25">
      <c r="G70"/>
      <c r="H70" s="95"/>
      <c r="N70" s="62"/>
    </row>
    <row r="72" spans="1:17" x14ac:dyDescent="0.25">
      <c r="A72" s="379"/>
      <c r="B72" s="379"/>
      <c r="C72" s="379"/>
      <c r="D72" s="380"/>
      <c r="E72" s="141"/>
      <c r="F72" s="141"/>
      <c r="G72" s="382"/>
      <c r="H72" s="383"/>
      <c r="I72" s="141"/>
      <c r="J72" s="141"/>
      <c r="K72" s="141"/>
      <c r="L72" s="379"/>
      <c r="M72" s="379"/>
      <c r="N72" s="379"/>
      <c r="O72" s="379"/>
      <c r="P72" s="379"/>
      <c r="Q72" s="379"/>
    </row>
    <row r="73" spans="1:17" x14ac:dyDescent="0.25">
      <c r="A73" s="379"/>
      <c r="B73" s="379"/>
      <c r="C73" s="379"/>
      <c r="D73" s="380"/>
      <c r="E73" s="141"/>
      <c r="F73" s="141"/>
      <c r="G73" s="382"/>
      <c r="H73" s="383"/>
      <c r="I73" s="141"/>
      <c r="J73" s="141"/>
      <c r="K73" s="141"/>
      <c r="L73" s="379"/>
      <c r="M73" s="379"/>
      <c r="N73" s="379"/>
      <c r="O73" s="379"/>
      <c r="P73" s="379"/>
      <c r="Q73" s="379"/>
    </row>
    <row r="74" spans="1:17" x14ac:dyDescent="0.25">
      <c r="A74" s="379"/>
      <c r="B74" s="379"/>
      <c r="C74" s="379"/>
      <c r="D74" s="380"/>
      <c r="E74" s="141"/>
      <c r="F74" s="141"/>
      <c r="G74" s="382"/>
      <c r="H74" s="383"/>
      <c r="I74" s="141"/>
      <c r="J74" s="141"/>
      <c r="K74" s="141"/>
      <c r="L74" s="379"/>
      <c r="M74" s="379"/>
      <c r="N74" s="379"/>
      <c r="O74" s="379"/>
      <c r="P74" s="379"/>
      <c r="Q74" s="379"/>
    </row>
    <row r="75" spans="1:17" x14ac:dyDescent="0.25">
      <c r="D75" s="67"/>
      <c r="E75" s="62"/>
      <c r="F75" s="62"/>
      <c r="G75" s="13"/>
      <c r="H75" s="96"/>
      <c r="I75" s="62"/>
      <c r="J75" s="62"/>
      <c r="K75" s="62"/>
      <c r="L75"/>
    </row>
    <row r="76" spans="1:17" x14ac:dyDescent="0.25">
      <c r="D76" s="67"/>
      <c r="E76" s="62"/>
      <c r="F76" s="62"/>
      <c r="G76" s="13"/>
      <c r="H76" s="96"/>
      <c r="I76" s="62"/>
      <c r="J76" s="62"/>
      <c r="K76" s="62"/>
      <c r="L76"/>
    </row>
    <row r="77" spans="1:17" x14ac:dyDescent="0.25">
      <c r="A77" t="s">
        <v>387</v>
      </c>
      <c r="D77" s="67"/>
      <c r="E77" s="62"/>
      <c r="F77" s="62"/>
      <c r="G77" t="s">
        <v>387</v>
      </c>
      <c r="H77"/>
      <c r="I77"/>
      <c r="J77" s="67"/>
      <c r="K77" s="62"/>
      <c r="L77"/>
    </row>
    <row r="78" spans="1:17" x14ac:dyDescent="0.25">
      <c r="A78" t="s">
        <v>388</v>
      </c>
      <c r="D78" s="67"/>
      <c r="E78" s="62"/>
      <c r="F78" s="62"/>
      <c r="G78" s="64" t="s">
        <v>390</v>
      </c>
      <c r="H78"/>
      <c r="I78"/>
      <c r="J78" s="67"/>
      <c r="K78" s="62"/>
      <c r="L78"/>
    </row>
    <row r="79" spans="1:17" x14ac:dyDescent="0.25">
      <c r="D79" s="67"/>
      <c r="E79" s="62"/>
      <c r="F79" s="62"/>
      <c r="G79"/>
      <c r="H79"/>
      <c r="I79"/>
      <c r="J79" s="67"/>
      <c r="K79" s="62"/>
      <c r="L79"/>
    </row>
    <row r="80" spans="1:17" x14ac:dyDescent="0.25">
      <c r="A80" s="587"/>
      <c r="B80" s="587" t="s">
        <v>389</v>
      </c>
      <c r="C80" s="64" t="s">
        <v>113</v>
      </c>
      <c r="D80" s="593" t="s">
        <v>202</v>
      </c>
      <c r="E80" s="588"/>
      <c r="F80" s="588"/>
      <c r="G80" s="587"/>
      <c r="H80" s="587" t="s">
        <v>389</v>
      </c>
      <c r="I80" s="64" t="s">
        <v>113</v>
      </c>
      <c r="J80" s="593" t="s">
        <v>202</v>
      </c>
      <c r="K80" s="588"/>
      <c r="L80" s="587"/>
      <c r="M80" s="587"/>
      <c r="N80" s="587"/>
      <c r="O80" s="587"/>
      <c r="P80" s="587"/>
      <c r="Q80" s="587"/>
    </row>
    <row r="81" spans="1:17" x14ac:dyDescent="0.25">
      <c r="A81" s="599">
        <v>0</v>
      </c>
      <c r="B81" s="66" t="e">
        <f>#REF!</f>
        <v>#REF!</v>
      </c>
      <c r="C81" s="65" t="e">
        <f>#REF!</f>
        <v>#REF!</v>
      </c>
      <c r="D81" s="603" t="e">
        <f>+B81-C81</f>
        <v>#REF!</v>
      </c>
      <c r="E81" s="588"/>
      <c r="F81" s="588"/>
      <c r="G81" s="599">
        <v>0</v>
      </c>
      <c r="H81" s="602">
        <f>K33</f>
        <v>300</v>
      </c>
      <c r="I81" s="600">
        <f>J33</f>
        <v>104.05</v>
      </c>
      <c r="J81" s="601">
        <f>+H81-I81</f>
        <v>195.95</v>
      </c>
      <c r="K81" s="588"/>
      <c r="L81" s="587"/>
      <c r="M81" s="587"/>
      <c r="N81" s="587"/>
      <c r="O81" s="587"/>
      <c r="P81" s="587"/>
      <c r="Q81" s="587"/>
    </row>
    <row r="82" spans="1:17" x14ac:dyDescent="0.25">
      <c r="A82" s="596">
        <v>0.1</v>
      </c>
      <c r="B82" s="66" t="e">
        <f>0.9*B81</f>
        <v>#REF!</v>
      </c>
      <c r="C82" s="65" t="e">
        <f>C81</f>
        <v>#REF!</v>
      </c>
      <c r="D82" s="603" t="e">
        <f t="shared" ref="D82:D85" si="2">+B82-C82</f>
        <v>#REF!</v>
      </c>
      <c r="E82" s="225"/>
      <c r="F82" s="225"/>
      <c r="G82" s="596">
        <v>0.1</v>
      </c>
      <c r="H82" s="587">
        <f>0.9*H81</f>
        <v>270</v>
      </c>
      <c r="I82" s="600">
        <f>I81</f>
        <v>104.05</v>
      </c>
      <c r="J82" s="601">
        <f t="shared" ref="J82:J85" si="3">+H82-I82</f>
        <v>165.95</v>
      </c>
      <c r="K82" s="225"/>
      <c r="L82" s="64"/>
      <c r="M82" s="64"/>
      <c r="N82" s="64"/>
      <c r="O82" s="64"/>
      <c r="P82" s="64"/>
      <c r="Q82" s="64"/>
    </row>
    <row r="83" spans="1:17" x14ac:dyDescent="0.25">
      <c r="A83" s="597">
        <v>0.15</v>
      </c>
      <c r="B83" s="66" t="e">
        <f>+B81*0.85</f>
        <v>#REF!</v>
      </c>
      <c r="C83" s="65" t="e">
        <f t="shared" ref="C83:C85" si="4">C82</f>
        <v>#REF!</v>
      </c>
      <c r="D83" s="603" t="e">
        <f t="shared" si="2"/>
        <v>#REF!</v>
      </c>
      <c r="E83" s="498"/>
      <c r="F83" s="498"/>
      <c r="G83" s="597">
        <v>0.15</v>
      </c>
      <c r="H83" s="587">
        <f>+H81*0.85</f>
        <v>255</v>
      </c>
      <c r="I83" s="600">
        <f t="shared" ref="I83:I85" si="5">I82</f>
        <v>104.05</v>
      </c>
      <c r="J83" s="601">
        <f t="shared" si="3"/>
        <v>150.94999999999999</v>
      </c>
      <c r="K83" s="498"/>
      <c r="L83" s="507"/>
      <c r="M83" s="507"/>
      <c r="N83" s="507"/>
      <c r="O83" s="507"/>
      <c r="P83" s="507"/>
      <c r="Q83" s="507"/>
    </row>
    <row r="84" spans="1:17" x14ac:dyDescent="0.25">
      <c r="A84" s="598">
        <v>0.2</v>
      </c>
      <c r="B84" s="66" t="e">
        <f>0.8*B81</f>
        <v>#REF!</v>
      </c>
      <c r="C84" s="65" t="e">
        <f t="shared" si="4"/>
        <v>#REF!</v>
      </c>
      <c r="D84" s="605" t="e">
        <f t="shared" si="2"/>
        <v>#REF!</v>
      </c>
      <c r="E84" s="62"/>
      <c r="F84" s="62"/>
      <c r="G84" s="598">
        <v>0.2</v>
      </c>
      <c r="H84" s="587">
        <f>0.8*H81</f>
        <v>240</v>
      </c>
      <c r="I84" s="600">
        <f t="shared" si="5"/>
        <v>104.05</v>
      </c>
      <c r="J84" s="601">
        <f t="shared" si="3"/>
        <v>135.94999999999999</v>
      </c>
      <c r="K84" s="62"/>
      <c r="L84"/>
    </row>
    <row r="85" spans="1:17" x14ac:dyDescent="0.25">
      <c r="A85" s="598">
        <v>0.25</v>
      </c>
      <c r="B85" s="66" t="e">
        <f>0.75*B81</f>
        <v>#REF!</v>
      </c>
      <c r="C85" s="65" t="e">
        <f t="shared" si="4"/>
        <v>#REF!</v>
      </c>
      <c r="D85" s="605" t="e">
        <f t="shared" si="2"/>
        <v>#REF!</v>
      </c>
      <c r="E85" s="62"/>
      <c r="F85" s="62"/>
      <c r="G85" s="598">
        <v>0.25</v>
      </c>
      <c r="H85" s="587">
        <f>0.755*H81</f>
        <v>226.5</v>
      </c>
      <c r="I85" s="600">
        <f t="shared" si="5"/>
        <v>104.05</v>
      </c>
      <c r="J85" s="601">
        <f t="shared" si="3"/>
        <v>122.45</v>
      </c>
      <c r="K85" s="62"/>
      <c r="L85"/>
    </row>
  </sheetData>
  <dataValidations count="1">
    <dataValidation type="list" allowBlank="1" showInputMessage="1" showErrorMessage="1" sqref="B16:B19 B29:B32 B40:B43" xr:uid="{39275B11-BA8B-4B8C-ABB6-5C6359B023B8}">
      <formula1>$O$1:$O$3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EDC5F-0341-405E-A331-A8ABBB8678A5}">
  <sheetPr codeName="Sheet22">
    <pageSetUpPr fitToPage="1"/>
  </sheetPr>
  <dimension ref="A1:S101"/>
  <sheetViews>
    <sheetView topLeftCell="A44" workbookViewId="0">
      <selection activeCell="B66" sqref="B66"/>
    </sheetView>
  </sheetViews>
  <sheetFormatPr defaultColWidth="10.625" defaultRowHeight="15.75" x14ac:dyDescent="0.25"/>
  <cols>
    <col min="5" max="5" width="10.625" style="67"/>
    <col min="7" max="7" width="10.625" style="95"/>
    <col min="8" max="8" width="5.625" style="13" customWidth="1"/>
    <col min="9" max="9" width="10.625" style="96"/>
    <col min="12" max="12" width="10.625" style="62"/>
  </cols>
  <sheetData>
    <row r="1" spans="1:19" ht="30.75" customHeight="1" x14ac:dyDescent="0.55000000000000004">
      <c r="A1" s="234" t="s">
        <v>227</v>
      </c>
      <c r="B1" s="236"/>
      <c r="C1" s="236"/>
      <c r="D1" s="236"/>
      <c r="J1" s="158"/>
      <c r="K1" s="287"/>
      <c r="L1" s="117"/>
      <c r="M1" s="117"/>
      <c r="O1" s="389" t="s">
        <v>203</v>
      </c>
    </row>
    <row r="2" spans="1:19" s="98" customFormat="1" x14ac:dyDescent="0.25">
      <c r="A2" s="87"/>
      <c r="B2" s="200">
        <f>'Pep Costs'!B55</f>
        <v>195</v>
      </c>
      <c r="C2" s="87" t="s">
        <v>142</v>
      </c>
      <c r="D2" s="87"/>
      <c r="E2" s="117"/>
      <c r="F2" s="117"/>
      <c r="G2" s="117"/>
      <c r="H2" s="117"/>
      <c r="I2" s="117"/>
      <c r="J2" s="429"/>
      <c r="K2" s="430"/>
      <c r="L2" s="431"/>
      <c r="M2" s="117"/>
      <c r="N2" s="117"/>
      <c r="O2" s="490" t="s">
        <v>187</v>
      </c>
      <c r="P2" s="117"/>
      <c r="Q2" s="117"/>
      <c r="R2" s="117"/>
      <c r="S2" s="117"/>
    </row>
    <row r="3" spans="1:19" s="98" customFormat="1" x14ac:dyDescent="0.25">
      <c r="A3" s="87"/>
      <c r="B3" s="170">
        <v>3.3</v>
      </c>
      <c r="C3" s="170" t="s">
        <v>185</v>
      </c>
      <c r="D3" s="87"/>
      <c r="E3" s="117"/>
      <c r="F3" s="117"/>
      <c r="G3" s="117"/>
      <c r="H3" s="117"/>
      <c r="I3" s="117"/>
      <c r="J3" s="117"/>
      <c r="K3" s="117"/>
      <c r="L3" s="152"/>
      <c r="M3" s="117"/>
      <c r="N3" s="117"/>
      <c r="O3" s="490" t="s">
        <v>206</v>
      </c>
      <c r="P3" s="117"/>
      <c r="Q3" s="117"/>
      <c r="R3" s="117"/>
      <c r="S3" s="117"/>
    </row>
    <row r="4" spans="1:19" s="98" customFormat="1" ht="18" x14ac:dyDescent="0.4">
      <c r="A4" s="87"/>
      <c r="B4" s="142">
        <v>5</v>
      </c>
      <c r="C4" s="142" t="s">
        <v>228</v>
      </c>
      <c r="D4" s="87"/>
      <c r="E4" s="270"/>
      <c r="F4" s="511" t="s">
        <v>349</v>
      </c>
      <c r="G4" s="512" t="s">
        <v>144</v>
      </c>
      <c r="H4" s="117"/>
      <c r="I4" s="117"/>
      <c r="J4" s="158"/>
      <c r="K4" s="117"/>
      <c r="L4" s="152"/>
      <c r="M4" s="117"/>
      <c r="N4" s="117"/>
      <c r="O4" s="157"/>
      <c r="P4" s="117"/>
      <c r="Q4" s="117"/>
      <c r="R4" s="117"/>
      <c r="S4" s="117"/>
    </row>
    <row r="5" spans="1:19" s="98" customFormat="1" x14ac:dyDescent="0.25">
      <c r="A5" s="87"/>
      <c r="B5" s="87">
        <f>SUM(B2:B4)</f>
        <v>203.3</v>
      </c>
      <c r="C5" s="87"/>
      <c r="D5" s="87"/>
      <c r="E5" s="270"/>
      <c r="F5" s="117">
        <v>100</v>
      </c>
      <c r="G5" s="130">
        <f>+F5+B5</f>
        <v>303.3</v>
      </c>
      <c r="H5" s="117"/>
      <c r="I5" s="117"/>
      <c r="J5" s="158"/>
      <c r="K5" s="117"/>
      <c r="L5" s="152"/>
      <c r="M5" s="117"/>
      <c r="N5" s="117"/>
      <c r="O5" s="157"/>
      <c r="P5" s="117"/>
      <c r="Q5" s="117"/>
      <c r="R5" s="117"/>
      <c r="S5" s="117"/>
    </row>
    <row r="6" spans="1:19" s="98" customFormat="1" x14ac:dyDescent="0.25">
      <c r="A6" s="314"/>
      <c r="B6" s="87"/>
      <c r="C6" s="87"/>
      <c r="D6" s="87"/>
      <c r="E6" s="270"/>
      <c r="F6" s="270"/>
      <c r="G6" s="392"/>
      <c r="H6" s="117"/>
      <c r="I6" s="117"/>
      <c r="J6" s="158"/>
      <c r="K6" s="117"/>
      <c r="L6" s="152"/>
      <c r="M6" s="117"/>
      <c r="N6" s="117"/>
      <c r="P6" s="117"/>
      <c r="Q6" s="117"/>
      <c r="R6" s="117"/>
      <c r="S6" s="117"/>
    </row>
    <row r="7" spans="1:19" s="98" customFormat="1" x14ac:dyDescent="0.25">
      <c r="A7" s="225" t="s">
        <v>189</v>
      </c>
      <c r="B7" s="87">
        <f>+B5/300</f>
        <v>0.67766666666666675</v>
      </c>
      <c r="C7" s="87"/>
      <c r="D7" s="87"/>
      <c r="E7" s="117"/>
      <c r="F7" s="62" t="s">
        <v>189</v>
      </c>
      <c r="G7" s="392">
        <f>+G5/300</f>
        <v>1.0110000000000001</v>
      </c>
      <c r="H7" s="471"/>
      <c r="I7" s="117"/>
      <c r="J7" s="158"/>
      <c r="K7" s="117"/>
      <c r="L7" s="152"/>
      <c r="M7" s="153"/>
      <c r="N7" s="117"/>
      <c r="O7" s="117"/>
      <c r="P7" s="117"/>
      <c r="Q7" s="117"/>
      <c r="R7" s="117"/>
      <c r="S7" s="117"/>
    </row>
    <row r="8" spans="1:19" s="117" customFormat="1" x14ac:dyDescent="0.25">
      <c r="A8" s="62"/>
      <c r="B8" s="128"/>
      <c r="E8" s="62"/>
      <c r="F8" s="390"/>
      <c r="G8" s="471"/>
      <c r="I8" s="158"/>
      <c r="K8" s="152"/>
      <c r="L8" s="153"/>
    </row>
    <row r="9" spans="1:19" s="161" customFormat="1" x14ac:dyDescent="0.25">
      <c r="A9" s="159"/>
      <c r="B9" s="160"/>
      <c r="E9" s="162"/>
      <c r="F9" s="163"/>
      <c r="I9" s="164"/>
      <c r="K9" s="165"/>
      <c r="L9" s="166"/>
    </row>
    <row r="10" spans="1:19" s="201" customFormat="1" x14ac:dyDescent="0.25">
      <c r="A10" s="323"/>
      <c r="E10" s="202"/>
      <c r="F10" s="203"/>
      <c r="I10" s="204"/>
      <c r="K10" s="205"/>
      <c r="L10" s="206"/>
    </row>
    <row r="11" spans="1:19" s="201" customFormat="1" x14ac:dyDescent="0.25">
      <c r="A11" s="323"/>
      <c r="B11" s="207" t="s">
        <v>240</v>
      </c>
      <c r="C11" s="207"/>
      <c r="E11" s="202"/>
      <c r="F11" s="203"/>
      <c r="I11" s="204"/>
      <c r="K11" s="205"/>
      <c r="L11" s="206"/>
    </row>
    <row r="12" spans="1:19" s="201" customFormat="1" x14ac:dyDescent="0.25">
      <c r="A12" s="323"/>
      <c r="B12" s="207"/>
      <c r="C12" s="207"/>
      <c r="E12" s="202"/>
      <c r="F12" s="203"/>
      <c r="I12" s="204"/>
      <c r="K12" s="205"/>
      <c r="L12" s="206"/>
    </row>
    <row r="13" spans="1:19" s="160" customFormat="1" x14ac:dyDescent="0.25">
      <c r="A13" s="324"/>
      <c r="E13" s="325"/>
      <c r="F13" s="326"/>
      <c r="I13" s="327"/>
      <c r="K13" s="328"/>
      <c r="L13" s="166"/>
    </row>
    <row r="14" spans="1:19" s="160" customFormat="1" x14ac:dyDescent="0.25">
      <c r="A14" s="324"/>
      <c r="E14" s="325"/>
      <c r="F14" s="326"/>
      <c r="I14" s="327"/>
      <c r="K14" s="328"/>
      <c r="L14" s="166"/>
    </row>
    <row r="15" spans="1:19" s="240" customFormat="1" x14ac:dyDescent="0.25">
      <c r="A15" s="329"/>
      <c r="E15" s="330"/>
      <c r="F15" s="331"/>
      <c r="I15" s="332"/>
      <c r="K15" s="333"/>
      <c r="L15" s="245"/>
    </row>
    <row r="16" spans="1:19" s="128" customFormat="1" x14ac:dyDescent="0.25">
      <c r="A16" s="15"/>
      <c r="B16" s="87"/>
      <c r="C16" s="80"/>
      <c r="D16" s="115"/>
      <c r="E16" s="116"/>
      <c r="F16" s="98"/>
      <c r="G16" s="117"/>
      <c r="H16" s="80"/>
      <c r="I16" s="98"/>
      <c r="J16" s="152"/>
      <c r="K16" s="153"/>
    </row>
    <row r="17" spans="1:17" s="128" customFormat="1" x14ac:dyDescent="0.25">
      <c r="A17" s="168" t="s">
        <v>218</v>
      </c>
      <c r="B17" s="87"/>
      <c r="C17" s="80"/>
      <c r="D17" s="115"/>
      <c r="E17" s="116"/>
      <c r="F17" s="98"/>
      <c r="G17" s="117"/>
    </row>
    <row r="18" spans="1:17" s="128" customFormat="1" x14ac:dyDescent="0.25">
      <c r="A18" s="15"/>
      <c r="B18" s="121"/>
      <c r="C18" s="80"/>
      <c r="D18" s="115"/>
      <c r="E18" s="116"/>
      <c r="F18" s="98"/>
      <c r="G18" s="117"/>
    </row>
    <row r="19" spans="1:17" s="128" customFormat="1" ht="31.5" x14ac:dyDescent="0.25">
      <c r="A19" s="182"/>
      <c r="B19" s="183" t="s">
        <v>199</v>
      </c>
      <c r="C19" s="184" t="s">
        <v>196</v>
      </c>
      <c r="D19" s="183" t="s">
        <v>197</v>
      </c>
      <c r="E19" s="169" t="s">
        <v>198</v>
      </c>
      <c r="F19" s="185" t="s">
        <v>188</v>
      </c>
      <c r="G19" s="124"/>
      <c r="H19" s="80"/>
      <c r="I19" s="98"/>
      <c r="J19" s="98"/>
      <c r="K19" s="114" t="s">
        <v>144</v>
      </c>
    </row>
    <row r="20" spans="1:17" s="128" customFormat="1" x14ac:dyDescent="0.25">
      <c r="A20" s="193" t="s">
        <v>219</v>
      </c>
      <c r="B20" s="73" t="s">
        <v>206</v>
      </c>
      <c r="C20" s="74"/>
      <c r="D20" s="73"/>
      <c r="E20" s="334">
        <v>0</v>
      </c>
      <c r="F20" s="146">
        <f>+D20*E20</f>
        <v>0</v>
      </c>
      <c r="G20" s="83"/>
      <c r="H20" s="118">
        <f>ROUNDUP(F24,0)</f>
        <v>30</v>
      </c>
      <c r="I20" s="119" t="s">
        <v>201</v>
      </c>
      <c r="J20" s="87">
        <f>B7*F24</f>
        <v>20.330000000000002</v>
      </c>
      <c r="K20" s="290">
        <f>+F24*G7</f>
        <v>30.330000000000005</v>
      </c>
    </row>
    <row r="21" spans="1:17" s="128" customFormat="1" x14ac:dyDescent="0.25">
      <c r="A21" s="193" t="s">
        <v>219</v>
      </c>
      <c r="B21" s="73" t="s">
        <v>285</v>
      </c>
      <c r="C21" s="74">
        <v>1000</v>
      </c>
      <c r="D21" s="73">
        <v>10</v>
      </c>
      <c r="E21" s="335">
        <v>3</v>
      </c>
      <c r="F21" s="146">
        <f t="shared" ref="F21:F23" si="0">+D21*E21</f>
        <v>30</v>
      </c>
      <c r="G21" s="83"/>
      <c r="H21" s="80">
        <f>E24</f>
        <v>3</v>
      </c>
      <c r="I21" s="62" t="s">
        <v>221</v>
      </c>
      <c r="J21" s="87">
        <f>+H21*0.24</f>
        <v>0.72</v>
      </c>
      <c r="K21" s="93"/>
    </row>
    <row r="22" spans="1:17" s="128" customFormat="1" x14ac:dyDescent="0.25">
      <c r="A22" s="193" t="s">
        <v>219</v>
      </c>
      <c r="B22" s="73" t="s">
        <v>206</v>
      </c>
      <c r="C22" s="74"/>
      <c r="D22" s="73"/>
      <c r="E22" s="335">
        <v>0</v>
      </c>
      <c r="F22" s="146">
        <f t="shared" si="0"/>
        <v>0</v>
      </c>
      <c r="G22" s="83"/>
      <c r="H22" s="80">
        <f>E24</f>
        <v>3</v>
      </c>
      <c r="I22" s="62" t="s">
        <v>200</v>
      </c>
      <c r="J22" s="87">
        <f>0.05*H22</f>
        <v>0.15000000000000002</v>
      </c>
      <c r="K22" s="93"/>
    </row>
    <row r="23" spans="1:17" s="128" customFormat="1" x14ac:dyDescent="0.25">
      <c r="A23" s="193" t="s">
        <v>219</v>
      </c>
      <c r="B23" s="75" t="s">
        <v>206</v>
      </c>
      <c r="C23" s="76"/>
      <c r="D23" s="75"/>
      <c r="E23" s="336">
        <v>0</v>
      </c>
      <c r="F23" s="103">
        <f t="shared" si="0"/>
        <v>0</v>
      </c>
      <c r="G23" s="83"/>
      <c r="H23" s="77">
        <v>0</v>
      </c>
      <c r="I23" s="71" t="s">
        <v>192</v>
      </c>
      <c r="J23" s="142">
        <f>H23*3.65</f>
        <v>0</v>
      </c>
      <c r="K23" s="143"/>
      <c r="M23" s="500"/>
      <c r="N23" s="500"/>
    </row>
    <row r="24" spans="1:17" s="128" customFormat="1" x14ac:dyDescent="0.25">
      <c r="A24" s="88"/>
      <c r="B24" s="79"/>
      <c r="C24" s="80"/>
      <c r="D24" s="82"/>
      <c r="E24" s="194">
        <f>SUM(E20:E23)</f>
        <v>3</v>
      </c>
      <c r="F24" s="127">
        <f>SUM(F20:F23)</f>
        <v>30</v>
      </c>
      <c r="G24" s="83"/>
      <c r="H24" s="80"/>
      <c r="I24" s="81"/>
      <c r="J24" s="128">
        <f>SUM(J20:J23)</f>
        <v>21.2</v>
      </c>
      <c r="K24" s="129">
        <f>ROUNDUP(SUM(K20:K23),0)</f>
        <v>31</v>
      </c>
      <c r="M24" s="433" t="s">
        <v>202</v>
      </c>
      <c r="N24" s="428">
        <f>+K24-J24</f>
        <v>9.8000000000000007</v>
      </c>
    </row>
    <row r="25" spans="1:17" s="128" customFormat="1" x14ac:dyDescent="0.25">
      <c r="A25" s="88"/>
      <c r="B25" s="79"/>
      <c r="C25" s="80"/>
      <c r="D25" s="82"/>
      <c r="E25" s="89"/>
      <c r="F25" s="110"/>
      <c r="G25" s="83"/>
      <c r="H25" s="80"/>
      <c r="I25" s="131" t="s">
        <v>189</v>
      </c>
      <c r="J25" s="113">
        <f>+J24/H20</f>
        <v>0.70666666666666667</v>
      </c>
      <c r="K25" s="112">
        <f>+K24/H20</f>
        <v>1.0333333333333334</v>
      </c>
      <c r="M25" s="500"/>
      <c r="N25" s="500"/>
    </row>
    <row r="26" spans="1:17" s="128" customFormat="1" x14ac:dyDescent="0.25">
      <c r="A26" s="88"/>
      <c r="B26" s="79"/>
      <c r="C26" s="80"/>
      <c r="D26" s="82"/>
      <c r="E26" s="109"/>
      <c r="F26" s="81"/>
      <c r="G26" s="83"/>
      <c r="H26" s="80"/>
      <c r="J26" s="111"/>
      <c r="M26" s="500"/>
      <c r="N26" s="500"/>
    </row>
    <row r="27" spans="1:17" s="240" customFormat="1" x14ac:dyDescent="0.25">
      <c r="A27" s="329"/>
      <c r="E27" s="330"/>
      <c r="F27" s="331"/>
      <c r="I27" s="332"/>
      <c r="K27" s="333"/>
      <c r="L27" s="245"/>
      <c r="N27" s="534"/>
      <c r="O27" s="534"/>
    </row>
    <row r="28" spans="1:17" s="160" customFormat="1" x14ac:dyDescent="0.25">
      <c r="A28" s="324"/>
      <c r="E28" s="325"/>
      <c r="F28" s="326"/>
      <c r="I28" s="327"/>
      <c r="K28" s="328"/>
      <c r="L28" s="166"/>
      <c r="N28" s="501"/>
      <c r="O28" s="501"/>
    </row>
    <row r="29" spans="1:17" s="160" customFormat="1" x14ac:dyDescent="0.25">
      <c r="A29" s="324"/>
      <c r="E29" s="325"/>
      <c r="F29" s="326"/>
      <c r="I29" s="327"/>
      <c r="K29" s="328"/>
      <c r="L29" s="166"/>
      <c r="N29" s="501"/>
      <c r="O29" s="501"/>
    </row>
    <row r="30" spans="1:17" s="98" customFormat="1" x14ac:dyDescent="0.25">
      <c r="A30" s="15"/>
      <c r="B30" s="87"/>
      <c r="C30" s="80"/>
      <c r="D30" s="115"/>
      <c r="E30" s="116"/>
      <c r="G30" s="117"/>
      <c r="H30" s="80"/>
      <c r="J30" s="152"/>
      <c r="K30" s="153"/>
      <c r="L30" s="117"/>
      <c r="M30" s="500"/>
      <c r="N30" s="500"/>
      <c r="O30" s="117"/>
      <c r="P30" s="117"/>
      <c r="Q30" s="117"/>
    </row>
    <row r="31" spans="1:17" s="125" customFormat="1" ht="31.5" x14ac:dyDescent="0.25">
      <c r="A31" s="653" t="s">
        <v>266</v>
      </c>
      <c r="B31" s="148" t="s">
        <v>199</v>
      </c>
      <c r="C31" s="149" t="s">
        <v>196</v>
      </c>
      <c r="D31" s="148" t="s">
        <v>197</v>
      </c>
      <c r="E31" s="122" t="s">
        <v>198</v>
      </c>
      <c r="F31" s="150" t="s">
        <v>188</v>
      </c>
      <c r="G31" s="124"/>
      <c r="H31" s="80"/>
      <c r="I31" s="98"/>
      <c r="J31" s="98"/>
      <c r="K31" s="209" t="s">
        <v>144</v>
      </c>
      <c r="L31" s="117"/>
      <c r="M31" s="500"/>
      <c r="N31" s="500"/>
      <c r="O31" s="124"/>
      <c r="P31" s="124"/>
    </row>
    <row r="32" spans="1:17" s="81" customFormat="1" x14ac:dyDescent="0.25">
      <c r="A32" s="193" t="s">
        <v>108</v>
      </c>
      <c r="B32" s="199" t="s">
        <v>206</v>
      </c>
      <c r="C32" s="192"/>
      <c r="D32" s="199">
        <v>25</v>
      </c>
      <c r="E32" s="145">
        <f>IF(B32="Daily",7, IF(B32="Weekly",1, IF(B32="Every Other Day",4,"")))</f>
        <v>1</v>
      </c>
      <c r="F32" s="146">
        <f>+D32*E32</f>
        <v>25</v>
      </c>
      <c r="G32" s="83"/>
      <c r="H32" s="118">
        <f>ROUNDUP(F36,0)</f>
        <v>100</v>
      </c>
      <c r="I32" s="119" t="s">
        <v>201</v>
      </c>
      <c r="J32" s="87">
        <f>+B7*F36</f>
        <v>67.76666666666668</v>
      </c>
      <c r="K32" s="210">
        <f>F36*G7</f>
        <v>101.10000000000001</v>
      </c>
      <c r="L32" s="117"/>
      <c r="M32" s="500"/>
      <c r="N32" s="500"/>
      <c r="O32" s="83"/>
      <c r="P32" s="83"/>
    </row>
    <row r="33" spans="1:16" s="81" customFormat="1" x14ac:dyDescent="0.25">
      <c r="A33" s="193" t="s">
        <v>109</v>
      </c>
      <c r="B33" s="199" t="s">
        <v>206</v>
      </c>
      <c r="C33" s="192"/>
      <c r="D33" s="199">
        <v>25</v>
      </c>
      <c r="E33" s="147">
        <f>IF(B33="Daily",7, IF(B33="Weekly",1, IF(B33="Every Other Day",4,"")))</f>
        <v>1</v>
      </c>
      <c r="F33" s="146">
        <f t="shared" ref="F33:F35" si="1">+D33*E33</f>
        <v>25</v>
      </c>
      <c r="G33" s="83"/>
      <c r="H33" s="80">
        <f>E36</f>
        <v>4</v>
      </c>
      <c r="I33" s="62" t="s">
        <v>221</v>
      </c>
      <c r="J33" s="87">
        <f>H33*0.24</f>
        <v>0.96</v>
      </c>
      <c r="K33" s="93"/>
      <c r="L33" s="83"/>
      <c r="M33" s="502"/>
      <c r="N33" s="502"/>
      <c r="O33" s="83"/>
      <c r="P33" s="83"/>
    </row>
    <row r="34" spans="1:16" s="81" customFormat="1" x14ac:dyDescent="0.25">
      <c r="A34" s="193" t="s">
        <v>110</v>
      </c>
      <c r="B34" s="316" t="s">
        <v>206</v>
      </c>
      <c r="C34" s="315"/>
      <c r="D34" s="316">
        <v>25</v>
      </c>
      <c r="E34" s="147">
        <f>IF(B34="Daily",7, IF(B34="Weekly",1, IF(B34="Every Other Day",4,"")))</f>
        <v>1</v>
      </c>
      <c r="F34" s="99">
        <f t="shared" si="1"/>
        <v>25</v>
      </c>
      <c r="G34" s="83"/>
      <c r="H34" s="80">
        <f>H33</f>
        <v>4</v>
      </c>
      <c r="I34" s="62" t="s">
        <v>200</v>
      </c>
      <c r="J34" s="87">
        <f>+H34*0.05</f>
        <v>0.2</v>
      </c>
      <c r="K34" s="93"/>
      <c r="L34" s="83"/>
      <c r="M34" s="503"/>
      <c r="N34" s="503"/>
      <c r="O34" s="83"/>
      <c r="P34" s="83"/>
    </row>
    <row r="35" spans="1:16" s="81" customFormat="1" x14ac:dyDescent="0.25">
      <c r="A35" s="195" t="s">
        <v>141</v>
      </c>
      <c r="B35" s="101" t="s">
        <v>206</v>
      </c>
      <c r="C35" s="102"/>
      <c r="D35" s="101">
        <v>25</v>
      </c>
      <c r="E35" s="144">
        <f>IF(B35="Daily",7, IF(B35="Weekly",1, IF(B35="Every Other Day",4,"")))</f>
        <v>1</v>
      </c>
      <c r="F35" s="103">
        <f t="shared" si="1"/>
        <v>25</v>
      </c>
      <c r="G35" s="83"/>
      <c r="H35" s="303">
        <v>1</v>
      </c>
      <c r="I35" s="71" t="s">
        <v>192</v>
      </c>
      <c r="J35" s="142">
        <f>H35*3.65</f>
        <v>3.65</v>
      </c>
      <c r="K35" s="143"/>
      <c r="L35" s="83"/>
      <c r="M35" s="503"/>
      <c r="N35" s="503"/>
      <c r="O35" s="83"/>
      <c r="P35" s="83"/>
    </row>
    <row r="36" spans="1:16" s="81" customFormat="1" x14ac:dyDescent="0.25">
      <c r="A36" s="88"/>
      <c r="B36" s="79"/>
      <c r="C36" s="80"/>
      <c r="D36" s="82"/>
      <c r="E36" s="196">
        <f>SUM(E32:E35)</f>
        <v>4</v>
      </c>
      <c r="F36" s="127">
        <f>SUM(F32:F35)</f>
        <v>100</v>
      </c>
      <c r="G36" s="83"/>
      <c r="H36" s="80"/>
      <c r="J36" s="128">
        <f>SUM(J32:J35)</f>
        <v>72.576666666666682</v>
      </c>
      <c r="K36" s="129">
        <v>350</v>
      </c>
      <c r="L36" s="83"/>
      <c r="M36" s="433" t="s">
        <v>202</v>
      </c>
      <c r="N36" s="428">
        <f>+K36-J36</f>
        <v>277.42333333333329</v>
      </c>
      <c r="O36" s="83"/>
      <c r="P36" s="83"/>
    </row>
    <row r="37" spans="1:16" s="81" customFormat="1" x14ac:dyDescent="0.25">
      <c r="A37" s="88"/>
      <c r="B37" s="79"/>
      <c r="C37" s="80"/>
      <c r="D37" s="82"/>
      <c r="E37" s="89"/>
      <c r="F37" s="110"/>
      <c r="G37" s="83"/>
      <c r="H37" s="80"/>
      <c r="I37" s="131" t="s">
        <v>189</v>
      </c>
      <c r="J37" s="113">
        <f>+J36/H32</f>
        <v>0.72576666666666678</v>
      </c>
      <c r="K37" s="112">
        <f>+K36/H32</f>
        <v>3.5</v>
      </c>
      <c r="L37" s="83"/>
      <c r="M37" s="503"/>
      <c r="N37" s="503"/>
      <c r="O37" s="83"/>
      <c r="P37" s="83"/>
    </row>
    <row r="38" spans="1:16" s="81" customFormat="1" x14ac:dyDescent="0.25">
      <c r="A38" s="88"/>
      <c r="B38" s="79"/>
      <c r="C38" s="80"/>
      <c r="D38" s="82"/>
      <c r="E38" s="109"/>
      <c r="G38" s="83"/>
      <c r="M38" s="503"/>
      <c r="N38" s="503"/>
      <c r="O38" s="83"/>
      <c r="P38" s="83"/>
    </row>
    <row r="39" spans="1:16" s="107" customFormat="1" x14ac:dyDescent="0.25">
      <c r="A39" s="104"/>
      <c r="B39" s="105"/>
      <c r="C39" s="106"/>
      <c r="D39" s="108"/>
      <c r="E39" s="151"/>
      <c r="H39" s="106"/>
      <c r="M39" s="504"/>
      <c r="N39" s="504"/>
    </row>
    <row r="40" spans="1:16" s="98" customFormat="1" x14ac:dyDescent="0.25">
      <c r="A40" s="15"/>
      <c r="B40" s="121"/>
      <c r="C40" s="80"/>
      <c r="D40" s="115"/>
      <c r="E40" s="116"/>
      <c r="G40" s="117"/>
      <c r="P40" s="117"/>
    </row>
    <row r="41" spans="1:16" s="125" customFormat="1" ht="31.5" x14ac:dyDescent="0.25">
      <c r="A41" s="653" t="s">
        <v>268</v>
      </c>
      <c r="B41" s="148" t="s">
        <v>199</v>
      </c>
      <c r="C41" s="149" t="s">
        <v>196</v>
      </c>
      <c r="D41" s="148" t="s">
        <v>197</v>
      </c>
      <c r="E41" s="122" t="s">
        <v>198</v>
      </c>
      <c r="F41" s="150" t="s">
        <v>188</v>
      </c>
      <c r="G41" s="124"/>
      <c r="H41" s="80"/>
      <c r="I41" s="98"/>
      <c r="J41" s="98"/>
      <c r="K41" s="209" t="s">
        <v>144</v>
      </c>
      <c r="L41" s="117"/>
      <c r="M41" s="500"/>
      <c r="N41" s="500"/>
      <c r="O41" s="117"/>
      <c r="P41" s="124"/>
    </row>
    <row r="42" spans="1:16" s="81" customFormat="1" x14ac:dyDescent="0.25">
      <c r="A42" s="193" t="s">
        <v>207</v>
      </c>
      <c r="B42" s="199" t="s">
        <v>206</v>
      </c>
      <c r="C42" s="192"/>
      <c r="D42" s="199">
        <v>50</v>
      </c>
      <c r="E42" s="145">
        <f>IF(B42="Daily",7, IF(B42="Weekly",1, IF(B42="Every Other Day",4,"")))</f>
        <v>1</v>
      </c>
      <c r="F42" s="146">
        <f>+D42*E42</f>
        <v>50</v>
      </c>
      <c r="G42" s="83"/>
      <c r="H42" s="118">
        <f>ROUNDUP(F46,0)</f>
        <v>200</v>
      </c>
      <c r="I42" s="119" t="s">
        <v>201</v>
      </c>
      <c r="J42" s="87">
        <f>+B7*F46</f>
        <v>135.53333333333336</v>
      </c>
      <c r="K42" s="210">
        <f>+F46*G7</f>
        <v>202.20000000000002</v>
      </c>
      <c r="L42" s="117"/>
      <c r="M42" s="500"/>
      <c r="N42" s="500"/>
      <c r="O42" s="117"/>
      <c r="P42" s="83"/>
    </row>
    <row r="43" spans="1:16" s="81" customFormat="1" x14ac:dyDescent="0.25">
      <c r="A43" s="193" t="s">
        <v>208</v>
      </c>
      <c r="B43" s="199" t="s">
        <v>206</v>
      </c>
      <c r="C43" s="192"/>
      <c r="D43" s="199">
        <v>50</v>
      </c>
      <c r="E43" s="147">
        <f>IF(B43="Daily",7, IF(B43="Weekly",1, IF(B43="Every Other Day",4,"")))</f>
        <v>1</v>
      </c>
      <c r="F43" s="146">
        <f t="shared" ref="F43:F45" si="2">+D43*E43</f>
        <v>50</v>
      </c>
      <c r="G43" s="83"/>
      <c r="H43" s="80">
        <f>E46</f>
        <v>4</v>
      </c>
      <c r="I43" s="62" t="s">
        <v>221</v>
      </c>
      <c r="J43" s="87">
        <f>H43*0.24</f>
        <v>0.96</v>
      </c>
      <c r="K43" s="93"/>
      <c r="L43" s="124"/>
      <c r="M43" s="502"/>
      <c r="N43" s="502"/>
      <c r="O43" s="124"/>
      <c r="P43" s="83"/>
    </row>
    <row r="44" spans="1:16" s="81" customFormat="1" x14ac:dyDescent="0.25">
      <c r="A44" s="193" t="s">
        <v>209</v>
      </c>
      <c r="B44" s="316" t="s">
        <v>206</v>
      </c>
      <c r="C44" s="315"/>
      <c r="D44" s="316">
        <v>50</v>
      </c>
      <c r="E44" s="147">
        <f>IF(B44="Daily",7, IF(B44="Weekly",1, IF(B44="Every Other Day",4,"")))</f>
        <v>1</v>
      </c>
      <c r="F44" s="99">
        <f t="shared" si="2"/>
        <v>50</v>
      </c>
      <c r="G44" s="83"/>
      <c r="H44" s="80">
        <f>E46</f>
        <v>4</v>
      </c>
      <c r="I44" s="62" t="s">
        <v>200</v>
      </c>
      <c r="J44" s="87">
        <f>+H44*0.05</f>
        <v>0.2</v>
      </c>
      <c r="K44" s="93"/>
      <c r="L44" s="83"/>
      <c r="M44" s="503"/>
      <c r="N44" s="503"/>
      <c r="O44" s="83"/>
      <c r="P44" s="83"/>
    </row>
    <row r="45" spans="1:16" s="81" customFormat="1" x14ac:dyDescent="0.25">
      <c r="A45" s="195" t="s">
        <v>210</v>
      </c>
      <c r="B45" s="101" t="s">
        <v>206</v>
      </c>
      <c r="C45" s="102"/>
      <c r="D45" s="101">
        <v>50</v>
      </c>
      <c r="E45" s="144">
        <f>IF(B45="Daily",7, IF(B45="Weekly",1, IF(B45="Every Other Day",4,"")))</f>
        <v>1</v>
      </c>
      <c r="F45" s="103">
        <f t="shared" si="2"/>
        <v>50</v>
      </c>
      <c r="G45" s="83"/>
      <c r="H45" s="303">
        <v>0</v>
      </c>
      <c r="I45" s="71" t="s">
        <v>192</v>
      </c>
      <c r="J45" s="142">
        <f>H45*3.65</f>
        <v>0</v>
      </c>
      <c r="K45" s="143"/>
      <c r="L45" s="83"/>
      <c r="M45" s="503"/>
      <c r="N45" s="503"/>
      <c r="O45" s="83"/>
      <c r="P45" s="83"/>
    </row>
    <row r="46" spans="1:16" s="81" customFormat="1" x14ac:dyDescent="0.25">
      <c r="A46" s="88"/>
      <c r="B46" s="79"/>
      <c r="C46" s="80"/>
      <c r="D46" s="82"/>
      <c r="E46" s="196">
        <f>SUM(E42:E45)</f>
        <v>4</v>
      </c>
      <c r="F46" s="127">
        <f>SUM(F42:F45)</f>
        <v>200</v>
      </c>
      <c r="G46" s="83"/>
      <c r="H46" s="80"/>
      <c r="J46" s="128">
        <f>SUM(J42:J45)</f>
        <v>136.69333333333336</v>
      </c>
      <c r="K46" s="129">
        <v>350</v>
      </c>
      <c r="L46" s="83"/>
      <c r="M46" s="433" t="s">
        <v>202</v>
      </c>
      <c r="N46" s="428">
        <f>+K46-J46</f>
        <v>213.30666666666664</v>
      </c>
      <c r="O46" s="83"/>
      <c r="P46" s="83"/>
    </row>
    <row r="47" spans="1:16" s="81" customFormat="1" x14ac:dyDescent="0.25">
      <c r="A47" s="88"/>
      <c r="B47" s="79"/>
      <c r="C47" s="80"/>
      <c r="D47" s="82"/>
      <c r="E47" s="89"/>
      <c r="F47" s="110"/>
      <c r="G47" s="83"/>
      <c r="H47" s="80"/>
      <c r="I47" s="131" t="s">
        <v>189</v>
      </c>
      <c r="J47" s="113">
        <f>+J46/H42</f>
        <v>0.68346666666666678</v>
      </c>
      <c r="K47" s="112">
        <f>+K46/H42</f>
        <v>1.75</v>
      </c>
      <c r="L47" s="83"/>
      <c r="M47" s="503"/>
      <c r="N47" s="503"/>
      <c r="O47" s="83"/>
      <c r="P47" s="83"/>
    </row>
    <row r="48" spans="1:16" s="81" customFormat="1" x14ac:dyDescent="0.25">
      <c r="A48" s="88"/>
      <c r="B48" s="79"/>
      <c r="C48" s="80"/>
      <c r="D48" s="82"/>
      <c r="E48" s="109"/>
      <c r="G48" s="83"/>
      <c r="H48" s="80"/>
      <c r="L48" s="83"/>
      <c r="M48" s="503"/>
      <c r="N48" s="503"/>
      <c r="O48" s="83"/>
      <c r="P48" s="83"/>
    </row>
    <row r="49" spans="1:16" s="107" customFormat="1" x14ac:dyDescent="0.25">
      <c r="A49" s="104"/>
      <c r="B49" s="105"/>
      <c r="C49" s="106"/>
      <c r="D49" s="108"/>
      <c r="E49" s="151"/>
      <c r="H49" s="106"/>
      <c r="M49" s="504"/>
      <c r="N49" s="504"/>
    </row>
    <row r="50" spans="1:16" s="98" customFormat="1" x14ac:dyDescent="0.25">
      <c r="A50" s="15"/>
      <c r="B50" s="121"/>
      <c r="C50" s="80"/>
      <c r="D50" s="115"/>
      <c r="E50" s="116"/>
      <c r="G50" s="117"/>
      <c r="O50" s="117"/>
      <c r="P50" s="117"/>
    </row>
    <row r="51" spans="1:16" s="125" customFormat="1" ht="31.5" x14ac:dyDescent="0.25">
      <c r="A51" s="653" t="s">
        <v>269</v>
      </c>
      <c r="B51" s="148" t="s">
        <v>199</v>
      </c>
      <c r="C51" s="149" t="s">
        <v>196</v>
      </c>
      <c r="D51" s="148" t="s">
        <v>197</v>
      </c>
      <c r="E51" s="122" t="s">
        <v>198</v>
      </c>
      <c r="F51" s="150" t="s">
        <v>188</v>
      </c>
      <c r="G51" s="124"/>
      <c r="H51" s="80"/>
      <c r="I51" s="98"/>
      <c r="J51" s="98"/>
      <c r="K51" s="209" t="s">
        <v>144</v>
      </c>
      <c r="L51" s="117"/>
      <c r="M51" s="500"/>
      <c r="N51" s="500"/>
      <c r="O51" s="124"/>
      <c r="P51" s="124"/>
    </row>
    <row r="52" spans="1:16" s="81" customFormat="1" x14ac:dyDescent="0.25">
      <c r="A52" s="193" t="s">
        <v>211</v>
      </c>
      <c r="B52" s="199" t="s">
        <v>206</v>
      </c>
      <c r="C52" s="192"/>
      <c r="D52" s="199">
        <v>75</v>
      </c>
      <c r="E52" s="145">
        <f>IF(B52="Daily",7, IF(B52="Weekly",1, IF(B52="Every Other Day",4,"")))</f>
        <v>1</v>
      </c>
      <c r="F52" s="146">
        <f>+D52*E52</f>
        <v>75</v>
      </c>
      <c r="G52" s="83"/>
      <c r="H52" s="118">
        <f>ROUNDUP(F56,0)</f>
        <v>300</v>
      </c>
      <c r="I52" s="119" t="s">
        <v>201</v>
      </c>
      <c r="J52" s="87">
        <f>+B7*F56</f>
        <v>203.3</v>
      </c>
      <c r="K52" s="210">
        <f>+F56*G7</f>
        <v>303.3</v>
      </c>
      <c r="L52" s="117"/>
      <c r="M52" s="500"/>
      <c r="N52" s="500"/>
      <c r="O52" s="83"/>
      <c r="P52" s="83"/>
    </row>
    <row r="53" spans="1:16" s="81" customFormat="1" x14ac:dyDescent="0.25">
      <c r="A53" s="193" t="s">
        <v>222</v>
      </c>
      <c r="B53" s="199" t="s">
        <v>206</v>
      </c>
      <c r="C53" s="192"/>
      <c r="D53" s="199">
        <v>75</v>
      </c>
      <c r="E53" s="147">
        <f>IF(B53="Daily",7, IF(B53="Weekly",1, IF(B53="Every Other Day",4,"")))</f>
        <v>1</v>
      </c>
      <c r="F53" s="146">
        <f t="shared" ref="F53:F55" si="3">+D53*E53</f>
        <v>75</v>
      </c>
      <c r="G53" s="83"/>
      <c r="H53" s="80">
        <f>E56</f>
        <v>4</v>
      </c>
      <c r="I53" s="62" t="s">
        <v>221</v>
      </c>
      <c r="J53" s="87">
        <f>+H53*0.24</f>
        <v>0.96</v>
      </c>
      <c r="K53" s="93"/>
      <c r="L53" s="124"/>
      <c r="M53" s="502"/>
      <c r="N53" s="502"/>
      <c r="O53" s="83"/>
      <c r="P53" s="83"/>
    </row>
    <row r="54" spans="1:16" s="81" customFormat="1" x14ac:dyDescent="0.25">
      <c r="A54" s="193" t="s">
        <v>213</v>
      </c>
      <c r="B54" s="316" t="s">
        <v>206</v>
      </c>
      <c r="C54" s="315"/>
      <c r="D54" s="316">
        <v>75</v>
      </c>
      <c r="E54" s="147">
        <f>IF(B54="Daily",7, IF(B54="Weekly",1, IF(B54="Every Other Day",4,"")))</f>
        <v>1</v>
      </c>
      <c r="F54" s="99">
        <f t="shared" si="3"/>
        <v>75</v>
      </c>
      <c r="G54" s="83"/>
      <c r="H54" s="80">
        <f>E56</f>
        <v>4</v>
      </c>
      <c r="I54" s="62" t="s">
        <v>200</v>
      </c>
      <c r="J54" s="87">
        <f>H54*0.05</f>
        <v>0.2</v>
      </c>
      <c r="K54" s="93"/>
      <c r="L54" s="83"/>
      <c r="M54" s="503"/>
      <c r="N54" s="503"/>
      <c r="O54" s="83"/>
      <c r="P54" s="83"/>
    </row>
    <row r="55" spans="1:16" s="81" customFormat="1" x14ac:dyDescent="0.25">
      <c r="A55" s="195" t="s">
        <v>214</v>
      </c>
      <c r="B55" s="101" t="s">
        <v>206</v>
      </c>
      <c r="C55" s="102"/>
      <c r="D55" s="101">
        <v>75</v>
      </c>
      <c r="E55" s="144">
        <f>IF(B55="Daily",7, IF(B55="Weekly",1, IF(B55="Every Other Day",4,"")))</f>
        <v>1</v>
      </c>
      <c r="F55" s="103">
        <f t="shared" si="3"/>
        <v>75</v>
      </c>
      <c r="G55" s="83"/>
      <c r="H55" s="303">
        <v>0</v>
      </c>
      <c r="I55" s="71" t="s">
        <v>192</v>
      </c>
      <c r="J55" s="142">
        <f>H55*3.65</f>
        <v>0</v>
      </c>
      <c r="K55" s="143"/>
      <c r="L55" s="83"/>
      <c r="M55" s="503"/>
      <c r="N55" s="503"/>
      <c r="O55" s="83"/>
      <c r="P55" s="83"/>
    </row>
    <row r="56" spans="1:16" s="81" customFormat="1" x14ac:dyDescent="0.25">
      <c r="A56" s="88"/>
      <c r="B56" s="79"/>
      <c r="C56" s="80"/>
      <c r="D56" s="82"/>
      <c r="E56" s="196">
        <f>SUM(E52:E55)</f>
        <v>4</v>
      </c>
      <c r="F56" s="127">
        <f>SUM(F52:F55)</f>
        <v>300</v>
      </c>
      <c r="G56" s="83"/>
      <c r="H56" s="80"/>
      <c r="J56" s="128">
        <f>SUM(J52:J55)</f>
        <v>204.46</v>
      </c>
      <c r="K56" s="129">
        <v>350</v>
      </c>
      <c r="L56" s="83"/>
      <c r="M56" s="433" t="s">
        <v>202</v>
      </c>
      <c r="N56" s="428">
        <f>+K56-J56</f>
        <v>145.54</v>
      </c>
      <c r="O56" s="83"/>
      <c r="P56" s="83"/>
    </row>
    <row r="57" spans="1:16" s="81" customFormat="1" x14ac:dyDescent="0.25">
      <c r="A57" s="88"/>
      <c r="B57" s="79"/>
      <c r="C57" s="80"/>
      <c r="D57" s="82"/>
      <c r="E57" s="89" t="s">
        <v>204</v>
      </c>
      <c r="F57" s="110">
        <f>+F56/300</f>
        <v>1</v>
      </c>
      <c r="G57" s="83"/>
      <c r="H57" s="80"/>
      <c r="I57" s="131" t="s">
        <v>189</v>
      </c>
      <c r="J57" s="113">
        <f>+J56/H52</f>
        <v>0.68153333333333332</v>
      </c>
      <c r="K57" s="112">
        <f>+K56/H52</f>
        <v>1.1666666666666667</v>
      </c>
      <c r="L57" s="83"/>
      <c r="M57" s="503"/>
      <c r="N57" s="503"/>
      <c r="O57" s="83"/>
      <c r="P57" s="83"/>
    </row>
    <row r="58" spans="1:16" s="81" customFormat="1" x14ac:dyDescent="0.25">
      <c r="A58" s="88"/>
      <c r="B58" s="79"/>
      <c r="C58" s="80"/>
      <c r="D58" s="82"/>
      <c r="E58" s="109"/>
      <c r="G58" s="83"/>
      <c r="L58" s="83"/>
      <c r="M58" s="503"/>
      <c r="N58" s="503"/>
      <c r="O58" s="83"/>
      <c r="P58" s="83"/>
    </row>
    <row r="59" spans="1:16" s="135" customFormat="1" x14ac:dyDescent="0.25">
      <c r="A59" s="132"/>
      <c r="B59" s="133"/>
      <c r="C59" s="134"/>
      <c r="D59" s="136"/>
      <c r="E59" s="137"/>
      <c r="H59" s="134"/>
      <c r="I59" s="138"/>
      <c r="J59" s="139"/>
      <c r="K59" s="140"/>
      <c r="M59" s="505"/>
      <c r="N59" s="505"/>
    </row>
    <row r="60" spans="1:16" s="98" customFormat="1" x14ac:dyDescent="0.25">
      <c r="A60" s="15"/>
      <c r="B60" s="121"/>
      <c r="C60" s="80"/>
      <c r="D60" s="115"/>
      <c r="E60" s="116"/>
      <c r="G60" s="117"/>
      <c r="P60" s="117"/>
    </row>
    <row r="61" spans="1:16" s="125" customFormat="1" ht="31.5" x14ac:dyDescent="0.25">
      <c r="A61" s="653" t="s">
        <v>215</v>
      </c>
      <c r="B61" s="148" t="s">
        <v>199</v>
      </c>
      <c r="C61" s="149" t="s">
        <v>196</v>
      </c>
      <c r="D61" s="148" t="s">
        <v>197</v>
      </c>
      <c r="E61" s="122" t="s">
        <v>198</v>
      </c>
      <c r="F61" s="150" t="s">
        <v>188</v>
      </c>
      <c r="G61" s="124"/>
      <c r="H61" s="80"/>
      <c r="I61" s="98"/>
      <c r="J61" s="98"/>
      <c r="K61" s="209" t="s">
        <v>144</v>
      </c>
      <c r="L61" s="117"/>
      <c r="M61" s="500"/>
      <c r="N61" s="500"/>
      <c r="O61" s="117"/>
      <c r="P61" s="124"/>
    </row>
    <row r="62" spans="1:16" s="81" customFormat="1" x14ac:dyDescent="0.25">
      <c r="A62" s="193" t="s">
        <v>223</v>
      </c>
      <c r="B62" s="199" t="s">
        <v>206</v>
      </c>
      <c r="C62" s="303" t="s">
        <v>463</v>
      </c>
      <c r="D62" s="199">
        <v>100</v>
      </c>
      <c r="E62" s="145">
        <f>IF(B62="Daily",7, IF(B62="Weekly",1, IF(B62="Every Other Day",4,"")))</f>
        <v>1</v>
      </c>
      <c r="F62" s="146">
        <f>+D62*E62</f>
        <v>100</v>
      </c>
      <c r="G62" s="83"/>
      <c r="H62" s="118">
        <f>ROUNDUP(F66,0)</f>
        <v>400</v>
      </c>
      <c r="I62" s="119" t="s">
        <v>201</v>
      </c>
      <c r="J62" s="87">
        <f>F66*B7</f>
        <v>271.06666666666672</v>
      </c>
      <c r="K62" s="210">
        <f>+F66*G7</f>
        <v>404.40000000000003</v>
      </c>
      <c r="L62" s="117"/>
      <c r="M62" s="500"/>
      <c r="N62" s="500"/>
      <c r="O62" s="117"/>
      <c r="P62" s="83"/>
    </row>
    <row r="63" spans="1:16" s="81" customFormat="1" x14ac:dyDescent="0.25">
      <c r="A63" s="193" t="s">
        <v>224</v>
      </c>
      <c r="B63" s="199" t="s">
        <v>206</v>
      </c>
      <c r="C63" s="192"/>
      <c r="D63" s="199">
        <v>100</v>
      </c>
      <c r="E63" s="147">
        <f>IF(B63="Daily",7, IF(B63="Weekly",1, IF(B63="Every Other Day",4,"")))</f>
        <v>1</v>
      </c>
      <c r="F63" s="146">
        <f t="shared" ref="F63:F65" si="4">+D63*E63</f>
        <v>100</v>
      </c>
      <c r="G63" s="83"/>
      <c r="H63" s="80">
        <f>E66</f>
        <v>4</v>
      </c>
      <c r="I63" s="62" t="s">
        <v>221</v>
      </c>
      <c r="J63" s="87">
        <f>+H63*0.24</f>
        <v>0.96</v>
      </c>
      <c r="K63" s="93"/>
      <c r="L63" s="124"/>
      <c r="M63" s="502"/>
      <c r="N63" s="502"/>
      <c r="O63" s="124"/>
      <c r="P63" s="83"/>
    </row>
    <row r="64" spans="1:16" s="81" customFormat="1" x14ac:dyDescent="0.25">
      <c r="A64" s="193" t="s">
        <v>225</v>
      </c>
      <c r="B64" s="316" t="s">
        <v>206</v>
      </c>
      <c r="C64" s="192"/>
      <c r="D64" s="199">
        <v>100</v>
      </c>
      <c r="E64" s="147">
        <f>IF(B64="Daily",7, IF(B64="Weekly",1, IF(B64="Every Other Day",4,"")))</f>
        <v>1</v>
      </c>
      <c r="F64" s="99">
        <f t="shared" si="4"/>
        <v>100</v>
      </c>
      <c r="G64" s="83"/>
      <c r="H64" s="80">
        <f>E66</f>
        <v>4</v>
      </c>
      <c r="I64" s="62" t="s">
        <v>200</v>
      </c>
      <c r="J64" s="87">
        <f>H64*0.05</f>
        <v>0.2</v>
      </c>
      <c r="K64" s="93"/>
      <c r="L64" s="83"/>
      <c r="M64" s="503"/>
      <c r="N64" s="503"/>
      <c r="O64" s="83"/>
      <c r="P64" s="83"/>
    </row>
    <row r="65" spans="1:16" s="81" customFormat="1" x14ac:dyDescent="0.25">
      <c r="A65" s="195" t="s">
        <v>226</v>
      </c>
      <c r="B65" s="101" t="s">
        <v>206</v>
      </c>
      <c r="C65" s="102"/>
      <c r="D65" s="101">
        <v>100</v>
      </c>
      <c r="E65" s="144">
        <f>IF(B65="Daily",7, IF(B65="Weekly",1, IF(B65="Every Other Day",4,"")))</f>
        <v>1</v>
      </c>
      <c r="F65" s="103">
        <f t="shared" si="4"/>
        <v>100</v>
      </c>
      <c r="G65" s="83"/>
      <c r="H65" s="303">
        <v>0</v>
      </c>
      <c r="I65" s="71" t="s">
        <v>192</v>
      </c>
      <c r="J65" s="142">
        <f>H65*3.65</f>
        <v>0</v>
      </c>
      <c r="K65" s="143"/>
      <c r="L65" s="83"/>
      <c r="M65" s="503"/>
      <c r="N65" s="503"/>
      <c r="O65" s="83"/>
      <c r="P65" s="83"/>
    </row>
    <row r="66" spans="1:16" s="81" customFormat="1" x14ac:dyDescent="0.25">
      <c r="A66" s="88"/>
      <c r="B66" s="79"/>
      <c r="C66" s="80"/>
      <c r="D66" s="82"/>
      <c r="E66" s="196">
        <f>SUM(E62:E65)</f>
        <v>4</v>
      </c>
      <c r="F66" s="127">
        <f>SUM(F62:F65)</f>
        <v>400</v>
      </c>
      <c r="G66" s="83"/>
      <c r="H66" s="80"/>
      <c r="J66" s="128">
        <f>SUM(J62:J65)</f>
        <v>272.22666666666669</v>
      </c>
      <c r="K66" s="129">
        <v>350</v>
      </c>
      <c r="L66" s="83"/>
      <c r="M66" s="433" t="s">
        <v>202</v>
      </c>
      <c r="N66" s="428">
        <f>+K66-J66</f>
        <v>77.773333333333312</v>
      </c>
      <c r="O66" s="83"/>
      <c r="P66" s="83"/>
    </row>
    <row r="67" spans="1:16" s="81" customFormat="1" x14ac:dyDescent="0.25">
      <c r="A67" s="88"/>
      <c r="B67" s="79"/>
      <c r="C67" s="80"/>
      <c r="D67" s="82"/>
      <c r="E67" s="89" t="s">
        <v>204</v>
      </c>
      <c r="F67" s="110">
        <f>+F66/300</f>
        <v>1.3333333333333333</v>
      </c>
      <c r="G67" s="83"/>
      <c r="H67" s="80"/>
      <c r="I67" s="131" t="s">
        <v>189</v>
      </c>
      <c r="J67" s="113">
        <f>+J66/H62</f>
        <v>0.68056666666666676</v>
      </c>
      <c r="K67" s="112">
        <f>+K66/H62</f>
        <v>0.875</v>
      </c>
      <c r="L67" s="83"/>
      <c r="M67" s="503"/>
      <c r="N67" s="503"/>
      <c r="O67" s="83"/>
      <c r="P67" s="83"/>
    </row>
    <row r="68" spans="1:16" x14ac:dyDescent="0.25">
      <c r="D68" s="67"/>
      <c r="E68"/>
      <c r="F68" s="95"/>
      <c r="G68" s="13"/>
      <c r="H68" s="96"/>
      <c r="I68"/>
      <c r="K68" s="62"/>
      <c r="L68"/>
      <c r="M68" s="507"/>
      <c r="N68" s="507"/>
    </row>
    <row r="69" spans="1:16" s="379" customFormat="1" x14ac:dyDescent="0.25">
      <c r="E69" s="380"/>
      <c r="G69" s="381"/>
      <c r="H69" s="382"/>
      <c r="I69" s="383"/>
      <c r="L69" s="141"/>
      <c r="N69" s="531"/>
      <c r="O69" s="506"/>
    </row>
    <row r="70" spans="1:16" s="379" customFormat="1" x14ac:dyDescent="0.25">
      <c r="D70" s="380"/>
      <c r="F70" s="141"/>
      <c r="G70" s="382"/>
      <c r="H70" s="383"/>
      <c r="K70" s="141"/>
      <c r="N70" s="506"/>
      <c r="O70" s="506"/>
    </row>
    <row r="71" spans="1:16" s="379" customFormat="1" x14ac:dyDescent="0.25">
      <c r="D71" s="380"/>
      <c r="F71" s="141"/>
      <c r="G71" s="382"/>
      <c r="H71" s="383"/>
      <c r="K71" s="141"/>
      <c r="N71" s="506"/>
      <c r="O71" s="506"/>
    </row>
    <row r="72" spans="1:16" s="379" customFormat="1" x14ac:dyDescent="0.25">
      <c r="D72" s="380"/>
      <c r="F72" s="141"/>
      <c r="G72" s="382"/>
      <c r="H72" s="383"/>
      <c r="K72" s="141"/>
      <c r="N72" s="506"/>
      <c r="O72" s="506"/>
    </row>
    <row r="73" spans="1:16" x14ac:dyDescent="0.25">
      <c r="D73" s="67"/>
      <c r="E73"/>
      <c r="F73" s="62"/>
      <c r="G73" s="13"/>
      <c r="H73" s="96"/>
      <c r="I73"/>
      <c r="K73" s="62"/>
      <c r="L73"/>
      <c r="M73" s="62"/>
      <c r="N73" s="507"/>
      <c r="O73" s="507"/>
    </row>
    <row r="74" spans="1:16" x14ac:dyDescent="0.25">
      <c r="A74" t="s">
        <v>351</v>
      </c>
      <c r="D74" s="67"/>
      <c r="E74" s="62"/>
      <c r="F74" s="62"/>
      <c r="G74" s="13"/>
      <c r="H74" s="96"/>
      <c r="I74" s="62"/>
      <c r="J74" s="62"/>
      <c r="K74" s="62"/>
      <c r="L74"/>
      <c r="N74" s="507"/>
      <c r="O74" s="507"/>
    </row>
    <row r="75" spans="1:16" ht="17.25" customHeight="1" x14ac:dyDescent="0.25">
      <c r="D75" s="532" t="s">
        <v>375</v>
      </c>
      <c r="E75" s="62"/>
      <c r="F75" s="62"/>
      <c r="G75" s="13"/>
      <c r="H75" s="96"/>
      <c r="I75" s="62"/>
      <c r="J75" s="62"/>
      <c r="K75" s="62"/>
      <c r="L75"/>
      <c r="N75" s="507"/>
      <c r="O75" s="507"/>
    </row>
    <row r="76" spans="1:16" s="61" customFormat="1" x14ac:dyDescent="0.25">
      <c r="A76" s="61" t="s">
        <v>368</v>
      </c>
      <c r="D76" s="61" t="s">
        <v>369</v>
      </c>
      <c r="E76" s="453"/>
      <c r="F76" s="453"/>
      <c r="G76" s="458"/>
      <c r="H76" s="459"/>
      <c r="I76" s="453"/>
      <c r="J76" s="453"/>
      <c r="K76" s="453"/>
      <c r="N76" s="563"/>
      <c r="O76" s="563"/>
    </row>
    <row r="77" spans="1:16" x14ac:dyDescent="0.25">
      <c r="B77" s="61"/>
      <c r="D77" s="67"/>
      <c r="E77" s="62" t="s">
        <v>366</v>
      </c>
      <c r="F77" s="461">
        <f>F66</f>
        <v>400</v>
      </c>
      <c r="G77" s="13"/>
      <c r="H77" s="96"/>
      <c r="I77" s="62"/>
      <c r="J77" s="62"/>
      <c r="K77" s="62"/>
      <c r="L77"/>
      <c r="N77" s="507"/>
      <c r="O77" s="507"/>
    </row>
    <row r="78" spans="1:16" x14ac:dyDescent="0.25">
      <c r="A78" s="368" t="s">
        <v>364</v>
      </c>
      <c r="B78" s="460">
        <f>N66</f>
        <v>77.773333333333312</v>
      </c>
      <c r="D78" s="67"/>
      <c r="E78" s="71" t="s">
        <v>360</v>
      </c>
      <c r="F78" s="71">
        <v>10</v>
      </c>
      <c r="G78" s="13"/>
      <c r="H78" s="96"/>
      <c r="I78" s="62"/>
      <c r="J78" s="62"/>
      <c r="K78" s="62"/>
      <c r="L78"/>
    </row>
    <row r="79" spans="1:16" x14ac:dyDescent="0.25">
      <c r="D79" s="67"/>
      <c r="E79" s="62"/>
      <c r="F79" s="62">
        <f>+F78*F77</f>
        <v>4000</v>
      </c>
      <c r="G79" s="13" t="s">
        <v>367</v>
      </c>
      <c r="H79" s="96"/>
      <c r="I79" s="62"/>
      <c r="J79" s="62"/>
      <c r="K79" s="62"/>
      <c r="L79"/>
    </row>
    <row r="80" spans="1:16" x14ac:dyDescent="0.25">
      <c r="D80" s="67"/>
      <c r="E80" s="453" t="s">
        <v>361</v>
      </c>
      <c r="F80" s="453">
        <f>ROUNDUP((F79/300),0)</f>
        <v>14</v>
      </c>
      <c r="G80" s="13"/>
      <c r="H80" s="96"/>
      <c r="I80" s="62"/>
      <c r="J80" s="62"/>
      <c r="K80" s="62"/>
      <c r="L80"/>
    </row>
    <row r="81" spans="1:17" x14ac:dyDescent="0.25">
      <c r="D81" s="67"/>
      <c r="E81" s="62" t="s">
        <v>362</v>
      </c>
      <c r="F81" s="454">
        <f>+F80*F5</f>
        <v>1400</v>
      </c>
      <c r="G81" s="13"/>
      <c r="H81" s="96"/>
      <c r="I81" s="62"/>
      <c r="J81" s="62"/>
      <c r="K81" s="62"/>
      <c r="L81"/>
    </row>
    <row r="82" spans="1:17" x14ac:dyDescent="0.25">
      <c r="D82" s="67"/>
      <c r="E82" s="62"/>
      <c r="F82" s="62"/>
      <c r="G82" s="13"/>
      <c r="H82" s="96"/>
      <c r="I82" s="62"/>
      <c r="J82" s="62"/>
      <c r="K82" s="62"/>
      <c r="L82"/>
    </row>
    <row r="83" spans="1:17" x14ac:dyDescent="0.25">
      <c r="D83" s="455"/>
      <c r="E83" s="456" t="s">
        <v>363</v>
      </c>
      <c r="F83" s="457">
        <f>+F81/10</f>
        <v>140</v>
      </c>
      <c r="G83" s="13"/>
      <c r="H83" s="96"/>
      <c r="I83" s="62"/>
      <c r="J83" s="62"/>
      <c r="K83" s="62"/>
      <c r="L83"/>
    </row>
    <row r="88" spans="1:17" s="379" customFormat="1" x14ac:dyDescent="0.25">
      <c r="D88" s="380"/>
      <c r="E88" s="141"/>
      <c r="F88" s="141"/>
      <c r="G88" s="382"/>
      <c r="H88" s="383"/>
      <c r="I88" s="141"/>
      <c r="J88" s="141"/>
      <c r="K88" s="141"/>
    </row>
    <row r="89" spans="1:17" s="379" customFormat="1" x14ac:dyDescent="0.25">
      <c r="D89" s="380"/>
      <c r="E89" s="141"/>
      <c r="F89" s="141"/>
      <c r="G89" s="382"/>
      <c r="H89" s="383"/>
      <c r="I89" s="141"/>
      <c r="J89" s="141"/>
      <c r="K89" s="141"/>
    </row>
    <row r="90" spans="1:17" s="379" customFormat="1" x14ac:dyDescent="0.25">
      <c r="D90" s="380"/>
      <c r="E90" s="141"/>
      <c r="F90" s="141"/>
      <c r="G90" s="382"/>
      <c r="H90" s="383"/>
      <c r="I90" s="141"/>
      <c r="J90" s="141"/>
      <c r="K90" s="141"/>
    </row>
    <row r="91" spans="1:17" x14ac:dyDescent="0.25">
      <c r="D91" s="67"/>
      <c r="E91" s="62"/>
      <c r="F91" s="62"/>
      <c r="G91" s="13"/>
      <c r="H91" s="96"/>
      <c r="I91" s="62"/>
      <c r="J91" s="62"/>
      <c r="K91" s="62"/>
      <c r="L91"/>
    </row>
    <row r="92" spans="1:17" x14ac:dyDescent="0.25">
      <c r="D92" s="67"/>
      <c r="E92" s="62"/>
      <c r="F92" s="62"/>
      <c r="G92" s="13"/>
      <c r="H92" s="96"/>
      <c r="I92" s="62"/>
      <c r="J92" s="62"/>
      <c r="K92" s="62"/>
      <c r="L92"/>
    </row>
    <row r="93" spans="1:17" x14ac:dyDescent="0.25">
      <c r="A93" t="s">
        <v>387</v>
      </c>
      <c r="D93" s="67"/>
      <c r="E93" s="62"/>
      <c r="F93" s="62"/>
      <c r="G93" s="13"/>
      <c r="H93" s="96"/>
      <c r="I93" t="s">
        <v>387</v>
      </c>
      <c r="L93" s="67"/>
    </row>
    <row r="94" spans="1:17" x14ac:dyDescent="0.25">
      <c r="A94" t="s">
        <v>388</v>
      </c>
      <c r="D94" s="67"/>
      <c r="E94" s="62"/>
      <c r="F94" s="62"/>
      <c r="G94" s="13"/>
      <c r="H94" s="96"/>
      <c r="I94" s="64" t="s">
        <v>390</v>
      </c>
      <c r="L94" s="67"/>
    </row>
    <row r="95" spans="1:17" x14ac:dyDescent="0.25">
      <c r="D95" s="67"/>
      <c r="E95" s="62"/>
      <c r="F95" s="62"/>
      <c r="G95" s="13"/>
      <c r="H95" s="96"/>
      <c r="I95"/>
      <c r="L95" s="67"/>
    </row>
    <row r="96" spans="1:17" x14ac:dyDescent="0.25">
      <c r="A96" s="587"/>
      <c r="B96" s="587" t="s">
        <v>389</v>
      </c>
      <c r="C96" s="64" t="s">
        <v>113</v>
      </c>
      <c r="D96" s="593" t="s">
        <v>202</v>
      </c>
      <c r="E96" s="588"/>
      <c r="F96" s="588"/>
      <c r="G96" s="589"/>
      <c r="H96" s="590"/>
      <c r="I96" s="587"/>
      <c r="J96" s="587" t="s">
        <v>389</v>
      </c>
      <c r="K96" s="64" t="s">
        <v>113</v>
      </c>
      <c r="L96" s="593" t="s">
        <v>202</v>
      </c>
      <c r="M96" s="587"/>
      <c r="N96" s="587"/>
      <c r="O96" s="587"/>
      <c r="P96" s="587"/>
      <c r="Q96" s="587"/>
    </row>
    <row r="97" spans="1:17" x14ac:dyDescent="0.25">
      <c r="A97" s="599">
        <v>0</v>
      </c>
      <c r="B97" s="66">
        <f>K66</f>
        <v>350</v>
      </c>
      <c r="C97" s="65">
        <f>J66</f>
        <v>272.22666666666669</v>
      </c>
      <c r="D97" s="603">
        <f>+B97-C97</f>
        <v>77.773333333333312</v>
      </c>
      <c r="E97" s="588"/>
      <c r="F97" s="588"/>
      <c r="G97" s="589"/>
      <c r="H97" s="590"/>
      <c r="I97" s="599">
        <v>0</v>
      </c>
      <c r="J97" s="602">
        <f>K36</f>
        <v>350</v>
      </c>
      <c r="K97" s="600">
        <f>J36</f>
        <v>72.576666666666682</v>
      </c>
      <c r="L97" s="601">
        <f>+J97-K97</f>
        <v>277.42333333333329</v>
      </c>
      <c r="M97" s="587"/>
      <c r="N97" s="587"/>
      <c r="O97" s="587"/>
      <c r="P97" s="587"/>
      <c r="Q97" s="587"/>
    </row>
    <row r="98" spans="1:17" x14ac:dyDescent="0.25">
      <c r="A98" s="596">
        <v>0.1</v>
      </c>
      <c r="B98" s="66">
        <f>0.9*B97</f>
        <v>315</v>
      </c>
      <c r="C98" s="65">
        <f>C97</f>
        <v>272.22666666666669</v>
      </c>
      <c r="D98" s="603">
        <f t="shared" ref="D98:D101" si="5">+B98-C98</f>
        <v>42.773333333333312</v>
      </c>
      <c r="E98" s="225"/>
      <c r="F98" s="225"/>
      <c r="G98" s="591"/>
      <c r="H98" s="592"/>
      <c r="I98" s="596">
        <v>0.1</v>
      </c>
      <c r="J98" s="587">
        <f>0.9*J97</f>
        <v>315</v>
      </c>
      <c r="K98" s="600">
        <f>K97</f>
        <v>72.576666666666682</v>
      </c>
      <c r="L98" s="601">
        <f t="shared" ref="L98:L101" si="6">+J98-K98</f>
        <v>242.42333333333332</v>
      </c>
      <c r="M98" s="64"/>
      <c r="N98" s="64"/>
      <c r="O98" s="64"/>
      <c r="P98" s="64"/>
      <c r="Q98" s="64"/>
    </row>
    <row r="99" spans="1:17" x14ac:dyDescent="0.25">
      <c r="A99" s="597">
        <v>0.15</v>
      </c>
      <c r="B99" s="66">
        <f>+B97*0.85</f>
        <v>297.5</v>
      </c>
      <c r="C99" s="65">
        <f t="shared" ref="C99:C101" si="7">C98</f>
        <v>272.22666666666669</v>
      </c>
      <c r="D99" s="603">
        <f t="shared" si="5"/>
        <v>25.273333333333312</v>
      </c>
      <c r="E99" s="498"/>
      <c r="F99" s="498"/>
      <c r="G99" s="594"/>
      <c r="H99" s="595"/>
      <c r="I99" s="597">
        <v>0.15</v>
      </c>
      <c r="J99" s="587">
        <f>+J97*0.85</f>
        <v>297.5</v>
      </c>
      <c r="K99" s="600">
        <f t="shared" ref="K99:K101" si="8">K98</f>
        <v>72.576666666666682</v>
      </c>
      <c r="L99" s="601">
        <f t="shared" si="6"/>
        <v>224.92333333333332</v>
      </c>
      <c r="M99" s="507"/>
      <c r="N99" s="507"/>
      <c r="O99" s="507"/>
      <c r="P99" s="507"/>
      <c r="Q99" s="507"/>
    </row>
    <row r="100" spans="1:17" x14ac:dyDescent="0.25">
      <c r="A100" s="598">
        <v>0.2</v>
      </c>
      <c r="B100" s="66">
        <f>0.8*B97</f>
        <v>280</v>
      </c>
      <c r="C100" s="65">
        <f t="shared" si="7"/>
        <v>272.22666666666669</v>
      </c>
      <c r="D100" s="604">
        <f t="shared" si="5"/>
        <v>7.7733333333333121</v>
      </c>
      <c r="E100" s="62"/>
      <c r="F100" s="62"/>
      <c r="G100" s="13"/>
      <c r="H100" s="96"/>
      <c r="I100" s="598">
        <v>0.2</v>
      </c>
      <c r="J100" s="587">
        <f>0.8*J97</f>
        <v>280</v>
      </c>
      <c r="K100" s="600">
        <f t="shared" si="8"/>
        <v>72.576666666666682</v>
      </c>
      <c r="L100" s="601">
        <f t="shared" si="6"/>
        <v>207.42333333333332</v>
      </c>
    </row>
    <row r="101" spans="1:17" x14ac:dyDescent="0.25">
      <c r="A101" s="598">
        <v>0.25</v>
      </c>
      <c r="B101" s="66">
        <f>0.75*B97</f>
        <v>262.5</v>
      </c>
      <c r="C101" s="65">
        <f t="shared" si="7"/>
        <v>272.22666666666669</v>
      </c>
      <c r="D101" s="604">
        <f t="shared" si="5"/>
        <v>-9.7266666666666879</v>
      </c>
      <c r="E101" s="62"/>
      <c r="F101" s="62"/>
      <c r="G101" s="13"/>
      <c r="H101" s="96"/>
      <c r="I101" s="598">
        <v>0.25</v>
      </c>
      <c r="J101" s="587">
        <f>0.755*J97</f>
        <v>264.25</v>
      </c>
      <c r="K101" s="600">
        <f t="shared" si="8"/>
        <v>72.576666666666682</v>
      </c>
      <c r="L101" s="601">
        <f t="shared" si="6"/>
        <v>191.67333333333332</v>
      </c>
    </row>
  </sheetData>
  <dataValidations count="1">
    <dataValidation type="list" allowBlank="1" showInputMessage="1" showErrorMessage="1" sqref="B32:B35 B62:B65 B52:B55 B42:B45" xr:uid="{59561712-0AE0-415C-B5DE-0B1CF95A8D7E}">
      <formula1>$N$1:$N$3</formula1>
    </dataValidation>
  </dataValidations>
  <pageMargins left="0.7" right="0.7" top="0.75" bottom="0.75" header="0.3" footer="0.3"/>
  <pageSetup scale="72" fitToHeight="1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100F-7244-48B4-B38F-FD44413A83AF}">
  <sheetPr codeName="Sheet23"/>
  <dimension ref="A1:S127"/>
  <sheetViews>
    <sheetView topLeftCell="A83" workbookViewId="0">
      <selection activeCell="C84" sqref="C84"/>
    </sheetView>
  </sheetViews>
  <sheetFormatPr defaultColWidth="10.625" defaultRowHeight="15.75" x14ac:dyDescent="0.25"/>
  <cols>
    <col min="5" max="5" width="10.625" style="67"/>
    <col min="7" max="7" width="10.625" style="95"/>
    <col min="8" max="8" width="5.625" style="13" customWidth="1"/>
    <col min="9" max="9" width="10.625" style="96"/>
    <col min="12" max="12" width="10.625" style="62"/>
  </cols>
  <sheetData>
    <row r="1" spans="1:19" ht="30.75" customHeight="1" x14ac:dyDescent="0.55000000000000004">
      <c r="A1" s="234" t="s">
        <v>227</v>
      </c>
      <c r="B1" s="236"/>
      <c r="C1" s="236"/>
      <c r="D1" s="236"/>
      <c r="J1" s="158"/>
      <c r="K1" s="287"/>
      <c r="L1" s="117"/>
      <c r="M1" s="117"/>
      <c r="O1" s="389" t="s">
        <v>203</v>
      </c>
    </row>
    <row r="2" spans="1:19" s="98" customFormat="1" x14ac:dyDescent="0.25">
      <c r="A2" s="87"/>
      <c r="B2" s="200">
        <f>'Pep Costs'!B55</f>
        <v>195</v>
      </c>
      <c r="C2" s="87" t="s">
        <v>142</v>
      </c>
      <c r="D2" s="87"/>
      <c r="E2" s="117"/>
      <c r="F2" s="117"/>
      <c r="G2" s="117"/>
      <c r="H2" s="117"/>
      <c r="I2" s="117"/>
      <c r="J2" s="429"/>
      <c r="K2" s="430"/>
      <c r="L2" s="431"/>
      <c r="M2" s="117"/>
      <c r="N2" s="117"/>
      <c r="O2" s="490" t="s">
        <v>187</v>
      </c>
      <c r="P2" s="117"/>
      <c r="Q2" s="117"/>
      <c r="R2" s="117"/>
      <c r="S2" s="117"/>
    </row>
    <row r="3" spans="1:19" s="98" customFormat="1" x14ac:dyDescent="0.25">
      <c r="A3" s="87"/>
      <c r="B3" s="170">
        <v>3.3</v>
      </c>
      <c r="C3" s="170" t="s">
        <v>185</v>
      </c>
      <c r="D3" s="87"/>
      <c r="E3" s="117"/>
      <c r="F3" s="117"/>
      <c r="G3" s="117"/>
      <c r="H3" s="117"/>
      <c r="I3" s="117"/>
      <c r="J3" s="117"/>
      <c r="K3" s="117"/>
      <c r="L3" s="152"/>
      <c r="M3" s="117"/>
      <c r="N3" s="117"/>
      <c r="O3" s="490" t="s">
        <v>206</v>
      </c>
      <c r="P3" s="117"/>
      <c r="Q3" s="117"/>
      <c r="R3" s="117"/>
      <c r="S3" s="117"/>
    </row>
    <row r="4" spans="1:19" s="98" customFormat="1" ht="18" x14ac:dyDescent="0.4">
      <c r="A4" s="87"/>
      <c r="B4" s="142">
        <v>5</v>
      </c>
      <c r="C4" s="142" t="s">
        <v>228</v>
      </c>
      <c r="D4" s="87"/>
      <c r="E4" s="270"/>
      <c r="F4" s="511" t="s">
        <v>349</v>
      </c>
      <c r="G4" s="512" t="s">
        <v>144</v>
      </c>
      <c r="H4" s="117"/>
      <c r="I4" s="117"/>
      <c r="J4" s="158"/>
      <c r="K4" s="117"/>
      <c r="L4" s="152"/>
      <c r="M4" s="117"/>
      <c r="N4" s="117"/>
      <c r="O4" s="157"/>
      <c r="P4" s="117"/>
      <c r="Q4" s="117"/>
      <c r="R4" s="117"/>
      <c r="S4" s="117"/>
    </row>
    <row r="5" spans="1:19" s="98" customFormat="1" x14ac:dyDescent="0.25">
      <c r="A5" s="87"/>
      <c r="B5" s="87">
        <f>SUM(B2:B4)</f>
        <v>203.3</v>
      </c>
      <c r="C5" s="87"/>
      <c r="D5" s="87"/>
      <c r="E5" s="270"/>
      <c r="F5" s="117">
        <v>100</v>
      </c>
      <c r="G5" s="130">
        <f>+F5+B5</f>
        <v>303.3</v>
      </c>
      <c r="H5" s="117"/>
      <c r="I5" s="117"/>
      <c r="J5" s="158"/>
      <c r="K5" s="117"/>
      <c r="L5" s="152"/>
      <c r="M5" s="117"/>
      <c r="N5" s="117"/>
      <c r="O5" s="157"/>
      <c r="P5" s="117"/>
      <c r="Q5" s="117"/>
      <c r="R5" s="117"/>
      <c r="S5" s="117"/>
    </row>
    <row r="6" spans="1:19" s="98" customFormat="1" x14ac:dyDescent="0.25">
      <c r="A6" s="314"/>
      <c r="B6" s="87"/>
      <c r="C6" s="87"/>
      <c r="D6" s="87"/>
      <c r="E6" s="270"/>
      <c r="F6" s="270"/>
      <c r="G6" s="392"/>
      <c r="H6" s="117"/>
      <c r="I6" s="117"/>
      <c r="J6" s="158"/>
      <c r="K6" s="117"/>
      <c r="L6" s="152"/>
      <c r="M6" s="117"/>
      <c r="N6" s="117"/>
      <c r="P6" s="117"/>
      <c r="Q6" s="117"/>
      <c r="R6" s="117"/>
      <c r="S6" s="117"/>
    </row>
    <row r="7" spans="1:19" s="98" customFormat="1" x14ac:dyDescent="0.25">
      <c r="A7" s="225" t="s">
        <v>189</v>
      </c>
      <c r="B7" s="87">
        <f>+B5/300</f>
        <v>0.67766666666666675</v>
      </c>
      <c r="C7" s="87"/>
      <c r="D7" s="87"/>
      <c r="E7" s="117"/>
      <c r="F7" s="62" t="s">
        <v>189</v>
      </c>
      <c r="G7" s="392">
        <f>+G5/300</f>
        <v>1.0110000000000001</v>
      </c>
      <c r="H7" s="471"/>
      <c r="I7" s="117"/>
      <c r="J7" s="158"/>
      <c r="K7" s="117"/>
      <c r="L7" s="152"/>
      <c r="M7" s="153"/>
      <c r="N7" s="117"/>
      <c r="O7" s="117"/>
      <c r="P7" s="117"/>
      <c r="Q7" s="117"/>
      <c r="R7" s="117"/>
      <c r="S7" s="117"/>
    </row>
    <row r="8" spans="1:19" s="117" customFormat="1" x14ac:dyDescent="0.25">
      <c r="A8" s="62"/>
      <c r="B8" s="128"/>
      <c r="E8" s="62"/>
      <c r="F8" s="390"/>
      <c r="G8" s="471"/>
      <c r="I8" s="158"/>
      <c r="K8" s="152"/>
      <c r="L8" s="153"/>
    </row>
    <row r="9" spans="1:19" s="161" customFormat="1" x14ac:dyDescent="0.25">
      <c r="A9" s="159"/>
      <c r="B9" s="160"/>
      <c r="E9" s="162"/>
      <c r="F9" s="163"/>
      <c r="I9" s="164"/>
      <c r="K9" s="165"/>
      <c r="L9" s="166"/>
    </row>
    <row r="10" spans="1:19" s="201" customFormat="1" x14ac:dyDescent="0.25">
      <c r="A10" s="323"/>
      <c r="E10" s="202"/>
      <c r="F10" s="203"/>
      <c r="I10" s="204"/>
      <c r="K10" s="205"/>
      <c r="L10" s="206"/>
    </row>
    <row r="11" spans="1:19" s="201" customFormat="1" x14ac:dyDescent="0.25">
      <c r="A11" s="323"/>
      <c r="B11" s="207" t="s">
        <v>240</v>
      </c>
      <c r="C11" s="207"/>
      <c r="E11" s="202"/>
      <c r="F11" s="203"/>
      <c r="I11" s="204"/>
      <c r="K11" s="205"/>
      <c r="L11" s="206"/>
    </row>
    <row r="12" spans="1:19" s="201" customFormat="1" x14ac:dyDescent="0.25">
      <c r="A12" s="323"/>
      <c r="B12" s="207"/>
      <c r="C12" s="207"/>
      <c r="E12" s="202"/>
      <c r="F12" s="203"/>
      <c r="I12" s="204"/>
      <c r="K12" s="205"/>
      <c r="L12" s="206"/>
    </row>
    <row r="13" spans="1:19" s="160" customFormat="1" x14ac:dyDescent="0.25">
      <c r="A13" s="324"/>
      <c r="E13" s="325"/>
      <c r="F13" s="326"/>
      <c r="I13" s="327"/>
      <c r="K13" s="328"/>
      <c r="L13" s="166"/>
    </row>
    <row r="14" spans="1:19" s="160" customFormat="1" x14ac:dyDescent="0.25">
      <c r="A14" s="324"/>
      <c r="E14" s="325"/>
      <c r="F14" s="326"/>
      <c r="I14" s="327"/>
      <c r="K14" s="328"/>
      <c r="L14" s="166"/>
    </row>
    <row r="15" spans="1:19" s="160" customFormat="1" x14ac:dyDescent="0.25">
      <c r="A15" s="324"/>
      <c r="E15" s="325"/>
      <c r="F15" s="326"/>
      <c r="I15" s="327"/>
      <c r="K15" s="328"/>
      <c r="L15" s="166"/>
      <c r="N15" s="501"/>
      <c r="O15" s="501"/>
    </row>
    <row r="16" spans="1:19" s="98" customFormat="1" x14ac:dyDescent="0.25">
      <c r="A16" s="15"/>
      <c r="B16" s="87"/>
      <c r="C16" s="80"/>
      <c r="D16" s="115"/>
      <c r="E16" s="116"/>
      <c r="G16" s="117"/>
      <c r="H16" s="80"/>
      <c r="J16" s="152"/>
      <c r="K16" s="153"/>
      <c r="L16" s="117"/>
      <c r="M16" s="500"/>
      <c r="N16" s="500"/>
      <c r="O16" s="117"/>
      <c r="P16" s="117"/>
      <c r="Q16" s="117"/>
    </row>
    <row r="17" spans="1:16" s="125" customFormat="1" ht="31.5" x14ac:dyDescent="0.25">
      <c r="A17" s="653" t="s">
        <v>266</v>
      </c>
      <c r="B17" s="148" t="s">
        <v>199</v>
      </c>
      <c r="C17" s="149" t="s">
        <v>196</v>
      </c>
      <c r="D17" s="148" t="s">
        <v>197</v>
      </c>
      <c r="E17" s="122" t="s">
        <v>198</v>
      </c>
      <c r="F17" s="150" t="s">
        <v>188</v>
      </c>
      <c r="G17" s="124"/>
      <c r="H17" s="80"/>
      <c r="I17" s="98"/>
      <c r="J17" s="98"/>
      <c r="K17" s="209" t="s">
        <v>144</v>
      </c>
      <c r="L17" s="117"/>
      <c r="M17" s="500"/>
      <c r="N17" s="500"/>
      <c r="O17" s="124"/>
      <c r="P17" s="124"/>
    </row>
    <row r="18" spans="1:16" s="81" customFormat="1" x14ac:dyDescent="0.25">
      <c r="A18" s="193" t="s">
        <v>108</v>
      </c>
      <c r="B18" s="199" t="s">
        <v>206</v>
      </c>
      <c r="C18" s="192" t="s">
        <v>468</v>
      </c>
      <c r="D18" s="199">
        <v>16</v>
      </c>
      <c r="E18" s="145">
        <f>IF(B18="Daily",7, IF(B18="Weekly",1, IF(B18="Every Other Day",4,"")))</f>
        <v>1</v>
      </c>
      <c r="F18" s="146">
        <f>+D18*E18</f>
        <v>16</v>
      </c>
      <c r="G18" s="83"/>
      <c r="H18" s="118">
        <f>ROUNDUP(F22,0)</f>
        <v>64</v>
      </c>
      <c r="I18" s="119" t="s">
        <v>201</v>
      </c>
      <c r="J18" s="87">
        <f>+B7*F22</f>
        <v>43.370666666666672</v>
      </c>
      <c r="K18" s="210">
        <f>F22*G7</f>
        <v>64.704000000000008</v>
      </c>
      <c r="L18" s="117"/>
      <c r="M18" s="500"/>
      <c r="N18" s="500"/>
      <c r="O18" s="83"/>
      <c r="P18" s="83"/>
    </row>
    <row r="19" spans="1:16" s="81" customFormat="1" x14ac:dyDescent="0.25">
      <c r="A19" s="193" t="s">
        <v>109</v>
      </c>
      <c r="B19" s="199" t="s">
        <v>206</v>
      </c>
      <c r="C19" s="192" t="s">
        <v>468</v>
      </c>
      <c r="D19" s="199">
        <v>16</v>
      </c>
      <c r="E19" s="147">
        <f>IF(B19="Daily",7, IF(B19="Weekly",1, IF(B19="Every Other Day",4,"")))</f>
        <v>1</v>
      </c>
      <c r="F19" s="146">
        <f t="shared" ref="F19:F21" si="0">+D19*E19</f>
        <v>16</v>
      </c>
      <c r="G19" s="83"/>
      <c r="H19" s="80">
        <f>E22</f>
        <v>4</v>
      </c>
      <c r="I19" s="62" t="s">
        <v>221</v>
      </c>
      <c r="J19" s="87">
        <f>H19*0.24</f>
        <v>0.96</v>
      </c>
      <c r="K19" s="93"/>
      <c r="L19" s="83"/>
      <c r="M19" s="502"/>
      <c r="N19" s="502"/>
      <c r="O19" s="83"/>
      <c r="P19" s="83"/>
    </row>
    <row r="20" spans="1:16" s="81" customFormat="1" x14ac:dyDescent="0.25">
      <c r="A20" s="193" t="s">
        <v>110</v>
      </c>
      <c r="B20" s="316" t="s">
        <v>206</v>
      </c>
      <c r="C20" s="192" t="s">
        <v>467</v>
      </c>
      <c r="D20" s="316">
        <v>16</v>
      </c>
      <c r="E20" s="147">
        <f>IF(B20="Daily",7, IF(B20="Weekly",1, IF(B20="Every Other Day",4,"")))</f>
        <v>1</v>
      </c>
      <c r="F20" s="99">
        <f t="shared" si="0"/>
        <v>16</v>
      </c>
      <c r="G20" s="83"/>
      <c r="H20" s="80">
        <f>H19</f>
        <v>4</v>
      </c>
      <c r="I20" s="62" t="s">
        <v>200</v>
      </c>
      <c r="J20" s="87">
        <f>+H20*0.05</f>
        <v>0.2</v>
      </c>
      <c r="K20" s="93"/>
      <c r="L20" s="83"/>
      <c r="M20" s="503"/>
      <c r="N20" s="503"/>
      <c r="O20" s="83"/>
      <c r="P20" s="83"/>
    </row>
    <row r="21" spans="1:16" s="81" customFormat="1" x14ac:dyDescent="0.25">
      <c r="A21" s="195" t="s">
        <v>141</v>
      </c>
      <c r="B21" s="101" t="s">
        <v>206</v>
      </c>
      <c r="C21" s="102" t="s">
        <v>467</v>
      </c>
      <c r="D21" s="101">
        <v>16</v>
      </c>
      <c r="E21" s="144">
        <f>IF(B21="Daily",7, IF(B21="Weekly",1, IF(B21="Every Other Day",4,"")))</f>
        <v>1</v>
      </c>
      <c r="F21" s="103">
        <f t="shared" si="0"/>
        <v>16</v>
      </c>
      <c r="G21" s="83"/>
      <c r="H21" s="303">
        <v>1</v>
      </c>
      <c r="I21" s="71" t="s">
        <v>192</v>
      </c>
      <c r="J21" s="142">
        <f>H21*3.65</f>
        <v>3.65</v>
      </c>
      <c r="K21" s="143"/>
      <c r="L21" s="83"/>
      <c r="M21" s="503"/>
      <c r="N21" s="503"/>
      <c r="O21" s="83"/>
      <c r="P21" s="83"/>
    </row>
    <row r="22" spans="1:16" s="81" customFormat="1" x14ac:dyDescent="0.25">
      <c r="A22" s="88"/>
      <c r="B22" s="79"/>
      <c r="C22" s="80"/>
      <c r="D22" s="82"/>
      <c r="E22" s="196">
        <f>SUM(E18:E21)</f>
        <v>4</v>
      </c>
      <c r="F22" s="127">
        <f>SUM(F18:F21)</f>
        <v>64</v>
      </c>
      <c r="G22" s="83"/>
      <c r="H22" s="80"/>
      <c r="J22" s="128">
        <f>SUM(J18:J21)</f>
        <v>48.180666666666674</v>
      </c>
      <c r="K22" s="129">
        <v>350</v>
      </c>
      <c r="L22" s="83"/>
      <c r="M22" s="433" t="s">
        <v>202</v>
      </c>
      <c r="N22" s="428">
        <f>+K22-J22</f>
        <v>301.8193333333333</v>
      </c>
      <c r="O22" s="83"/>
      <c r="P22" s="83"/>
    </row>
    <row r="23" spans="1:16" s="81" customFormat="1" x14ac:dyDescent="0.25">
      <c r="A23" s="88"/>
      <c r="B23" s="79"/>
      <c r="C23" s="80"/>
      <c r="D23" s="82"/>
      <c r="E23" s="89"/>
      <c r="F23" s="110"/>
      <c r="G23" s="83"/>
      <c r="H23" s="80"/>
      <c r="I23" s="131" t="s">
        <v>189</v>
      </c>
      <c r="J23" s="113">
        <f>+J22/H18</f>
        <v>0.75282291666666679</v>
      </c>
      <c r="K23" s="112">
        <f>+K22/H18</f>
        <v>5.46875</v>
      </c>
      <c r="L23" s="83"/>
      <c r="M23" s="503"/>
      <c r="N23" s="503"/>
      <c r="O23" s="83"/>
      <c r="P23" s="83"/>
    </row>
    <row r="24" spans="1:16" s="81" customFormat="1" x14ac:dyDescent="0.25">
      <c r="A24" s="88"/>
      <c r="B24" s="79"/>
      <c r="C24" s="80"/>
      <c r="D24" s="82"/>
      <c r="E24" s="109"/>
      <c r="G24" s="83"/>
      <c r="M24" s="503"/>
      <c r="N24" s="503"/>
      <c r="O24" s="83"/>
      <c r="P24" s="83"/>
    </row>
    <row r="25" spans="1:16" s="107" customFormat="1" x14ac:dyDescent="0.25">
      <c r="A25" s="104"/>
      <c r="B25" s="105"/>
      <c r="C25" s="106"/>
      <c r="D25" s="108"/>
      <c r="E25" s="151"/>
      <c r="H25" s="106"/>
      <c r="M25" s="504"/>
      <c r="N25" s="504"/>
    </row>
    <row r="26" spans="1:16" s="98" customFormat="1" x14ac:dyDescent="0.25">
      <c r="A26" s="15"/>
      <c r="B26" s="121"/>
      <c r="C26" s="80"/>
      <c r="D26" s="115"/>
      <c r="E26" s="116"/>
      <c r="G26" s="117"/>
      <c r="P26" s="117"/>
    </row>
    <row r="27" spans="1:16" s="125" customFormat="1" ht="31.5" x14ac:dyDescent="0.25">
      <c r="A27" s="653" t="s">
        <v>268</v>
      </c>
      <c r="B27" s="148" t="s">
        <v>199</v>
      </c>
      <c r="C27" s="149" t="s">
        <v>196</v>
      </c>
      <c r="D27" s="148" t="s">
        <v>197</v>
      </c>
      <c r="E27" s="122" t="s">
        <v>198</v>
      </c>
      <c r="F27" s="150" t="s">
        <v>188</v>
      </c>
      <c r="G27" s="124"/>
      <c r="H27" s="80"/>
      <c r="I27" s="98"/>
      <c r="J27" s="98"/>
      <c r="K27" s="209" t="s">
        <v>144</v>
      </c>
      <c r="L27" s="117"/>
      <c r="M27" s="500"/>
      <c r="N27" s="500"/>
      <c r="O27" s="117"/>
      <c r="P27" s="124"/>
    </row>
    <row r="28" spans="1:16" s="81" customFormat="1" x14ac:dyDescent="0.25">
      <c r="A28" s="193" t="s">
        <v>207</v>
      </c>
      <c r="B28" s="199" t="s">
        <v>206</v>
      </c>
      <c r="C28" s="192" t="s">
        <v>471</v>
      </c>
      <c r="D28" s="199">
        <v>40</v>
      </c>
      <c r="E28" s="145">
        <f>IF(B28="Daily",7, IF(B28="Weekly",1, IF(B28="Every Other Day",4,"")))</f>
        <v>1</v>
      </c>
      <c r="F28" s="146">
        <f>+D28*E28</f>
        <v>40</v>
      </c>
      <c r="G28" s="83"/>
      <c r="H28" s="118">
        <f>ROUNDUP(F32,0)</f>
        <v>160</v>
      </c>
      <c r="I28" s="119" t="s">
        <v>201</v>
      </c>
      <c r="J28" s="87">
        <f>+B7*F32</f>
        <v>108.42666666666668</v>
      </c>
      <c r="K28" s="210">
        <f>+F32*G7</f>
        <v>161.76000000000002</v>
      </c>
      <c r="L28" s="117"/>
      <c r="M28" s="500"/>
      <c r="N28" s="500"/>
      <c r="O28" s="117"/>
      <c r="P28" s="83"/>
    </row>
    <row r="29" spans="1:16" s="81" customFormat="1" x14ac:dyDescent="0.25">
      <c r="A29" s="193" t="s">
        <v>208</v>
      </c>
      <c r="B29" s="199" t="s">
        <v>206</v>
      </c>
      <c r="C29" s="192"/>
      <c r="D29" s="199">
        <v>40</v>
      </c>
      <c r="E29" s="147">
        <f>IF(B29="Daily",7, IF(B29="Weekly",1, IF(B29="Every Other Day",4,"")))</f>
        <v>1</v>
      </c>
      <c r="F29" s="146">
        <f t="shared" ref="F29:F31" si="1">+D29*E29</f>
        <v>40</v>
      </c>
      <c r="G29" s="83"/>
      <c r="H29" s="80">
        <f>E32</f>
        <v>4</v>
      </c>
      <c r="I29" s="62" t="s">
        <v>221</v>
      </c>
      <c r="J29" s="87">
        <f>H29*0.24</f>
        <v>0.96</v>
      </c>
      <c r="K29" s="93"/>
      <c r="L29" s="124"/>
      <c r="M29" s="502"/>
      <c r="N29" s="502"/>
      <c r="O29" s="124"/>
      <c r="P29" s="83"/>
    </row>
    <row r="30" spans="1:16" s="81" customFormat="1" x14ac:dyDescent="0.25">
      <c r="A30" s="193" t="s">
        <v>209</v>
      </c>
      <c r="B30" s="316" t="s">
        <v>206</v>
      </c>
      <c r="C30" s="192"/>
      <c r="D30" s="316">
        <v>40</v>
      </c>
      <c r="E30" s="147">
        <f>IF(B30="Daily",7, IF(B30="Weekly",1, IF(B30="Every Other Day",4,"")))</f>
        <v>1</v>
      </c>
      <c r="F30" s="99">
        <f t="shared" si="1"/>
        <v>40</v>
      </c>
      <c r="G30" s="83"/>
      <c r="H30" s="80">
        <f>E32</f>
        <v>4</v>
      </c>
      <c r="I30" s="62" t="s">
        <v>200</v>
      </c>
      <c r="J30" s="87">
        <f>+H30*0.05</f>
        <v>0.2</v>
      </c>
      <c r="K30" s="93"/>
      <c r="L30" s="83"/>
      <c r="M30" s="503"/>
      <c r="N30" s="503"/>
      <c r="O30" s="83"/>
      <c r="P30" s="83"/>
    </row>
    <row r="31" spans="1:16" s="81" customFormat="1" x14ac:dyDescent="0.25">
      <c r="A31" s="195" t="s">
        <v>210</v>
      </c>
      <c r="B31" s="101" t="s">
        <v>206</v>
      </c>
      <c r="C31" s="102"/>
      <c r="D31" s="101">
        <v>40</v>
      </c>
      <c r="E31" s="144">
        <f>IF(B31="Daily",7, IF(B31="Weekly",1, IF(B31="Every Other Day",4,"")))</f>
        <v>1</v>
      </c>
      <c r="F31" s="103">
        <f t="shared" si="1"/>
        <v>40</v>
      </c>
      <c r="G31" s="83"/>
      <c r="H31" s="303">
        <v>0</v>
      </c>
      <c r="I31" s="71" t="s">
        <v>192</v>
      </c>
      <c r="J31" s="142">
        <f>H31*3.65</f>
        <v>0</v>
      </c>
      <c r="K31" s="143"/>
      <c r="L31" s="83"/>
      <c r="M31" s="503"/>
      <c r="N31" s="503"/>
      <c r="O31" s="83"/>
      <c r="P31" s="83"/>
    </row>
    <row r="32" spans="1:16" s="81" customFormat="1" x14ac:dyDescent="0.25">
      <c r="A32" s="88"/>
      <c r="B32" s="79"/>
      <c r="C32" s="80"/>
      <c r="D32" s="82"/>
      <c r="E32" s="196">
        <f>SUM(E28:E31)</f>
        <v>4</v>
      </c>
      <c r="F32" s="127">
        <f>SUM(F28:F31)</f>
        <v>160</v>
      </c>
      <c r="G32" s="83"/>
      <c r="H32" s="80"/>
      <c r="J32" s="128">
        <f>SUM(J28:J31)</f>
        <v>109.58666666666667</v>
      </c>
      <c r="K32" s="129">
        <v>350</v>
      </c>
      <c r="L32" s="83"/>
      <c r="M32" s="433" t="s">
        <v>202</v>
      </c>
      <c r="N32" s="428">
        <f>+K32-J32</f>
        <v>240.41333333333333</v>
      </c>
      <c r="O32" s="83"/>
      <c r="P32" s="83"/>
    </row>
    <row r="33" spans="1:16" s="81" customFormat="1" x14ac:dyDescent="0.25">
      <c r="A33" s="88"/>
      <c r="B33" s="79"/>
      <c r="C33" s="80"/>
      <c r="D33" s="82"/>
      <c r="E33" s="89"/>
      <c r="F33" s="110"/>
      <c r="G33" s="83"/>
      <c r="H33" s="80"/>
      <c r="I33" s="131" t="s">
        <v>189</v>
      </c>
      <c r="J33" s="113">
        <f>+J32/H28</f>
        <v>0.68491666666666673</v>
      </c>
      <c r="K33" s="112">
        <f>+K32/H28</f>
        <v>2.1875</v>
      </c>
      <c r="L33" s="83"/>
      <c r="M33" s="503"/>
      <c r="N33" s="503"/>
      <c r="O33" s="83"/>
      <c r="P33" s="83"/>
    </row>
    <row r="34" spans="1:16" s="81" customFormat="1" x14ac:dyDescent="0.25">
      <c r="A34" s="88"/>
      <c r="B34" s="79"/>
      <c r="C34" s="80"/>
      <c r="D34" s="82"/>
      <c r="E34" s="109"/>
      <c r="G34" s="83"/>
      <c r="H34" s="80"/>
      <c r="L34" s="83"/>
      <c r="M34" s="503"/>
      <c r="N34" s="503"/>
      <c r="O34" s="83"/>
      <c r="P34" s="83"/>
    </row>
    <row r="35" spans="1:16" s="107" customFormat="1" x14ac:dyDescent="0.25">
      <c r="A35" s="104"/>
      <c r="B35" s="105"/>
      <c r="C35" s="106"/>
      <c r="D35" s="108"/>
      <c r="E35" s="151"/>
      <c r="H35" s="106"/>
      <c r="M35" s="504"/>
      <c r="N35" s="504"/>
    </row>
    <row r="36" spans="1:16" s="98" customFormat="1" x14ac:dyDescent="0.25">
      <c r="A36" s="15"/>
      <c r="B36" s="121"/>
      <c r="C36" s="80"/>
      <c r="D36" s="115"/>
      <c r="E36" s="116"/>
      <c r="G36" s="117"/>
      <c r="O36" s="117"/>
      <c r="P36" s="117"/>
    </row>
    <row r="37" spans="1:16" s="125" customFormat="1" ht="31.5" x14ac:dyDescent="0.25">
      <c r="A37" s="653" t="s">
        <v>269</v>
      </c>
      <c r="B37" s="148" t="s">
        <v>199</v>
      </c>
      <c r="C37" s="149" t="s">
        <v>196</v>
      </c>
      <c r="D37" s="148" t="s">
        <v>197</v>
      </c>
      <c r="E37" s="122" t="s">
        <v>198</v>
      </c>
      <c r="F37" s="150" t="s">
        <v>188</v>
      </c>
      <c r="G37" s="124"/>
      <c r="H37" s="80"/>
      <c r="I37" s="98"/>
      <c r="J37" s="98"/>
      <c r="K37" s="209" t="s">
        <v>144</v>
      </c>
      <c r="L37" s="117"/>
      <c r="M37" s="500"/>
      <c r="N37" s="500"/>
      <c r="O37" s="124"/>
      <c r="P37" s="124"/>
    </row>
    <row r="38" spans="1:16" s="81" customFormat="1" x14ac:dyDescent="0.25">
      <c r="A38" s="193" t="s">
        <v>211</v>
      </c>
      <c r="B38" s="199" t="s">
        <v>206</v>
      </c>
      <c r="C38" s="192" t="s">
        <v>472</v>
      </c>
      <c r="D38" s="199">
        <v>50</v>
      </c>
      <c r="E38" s="145">
        <f>IF(B38="Daily",7, IF(B38="Weekly",1, IF(B38="Every Other Day",4,"")))</f>
        <v>1</v>
      </c>
      <c r="F38" s="146">
        <f>+D38*E38</f>
        <v>50</v>
      </c>
      <c r="G38" s="83"/>
      <c r="H38" s="118">
        <f>ROUNDUP(F42,0)</f>
        <v>200</v>
      </c>
      <c r="I38" s="119" t="s">
        <v>201</v>
      </c>
      <c r="J38" s="87">
        <f>+B7*F42</f>
        <v>135.53333333333336</v>
      </c>
      <c r="K38" s="210">
        <f>+F42*G7</f>
        <v>202.20000000000002</v>
      </c>
      <c r="L38" s="117"/>
      <c r="M38" s="500"/>
      <c r="N38" s="500"/>
      <c r="O38" s="83"/>
      <c r="P38" s="83"/>
    </row>
    <row r="39" spans="1:16" s="81" customFormat="1" x14ac:dyDescent="0.25">
      <c r="A39" s="193" t="s">
        <v>222</v>
      </c>
      <c r="B39" s="199" t="s">
        <v>206</v>
      </c>
      <c r="C39" s="192"/>
      <c r="D39" s="199">
        <v>50</v>
      </c>
      <c r="E39" s="147">
        <f>IF(B39="Daily",7, IF(B39="Weekly",1, IF(B39="Every Other Day",4,"")))</f>
        <v>1</v>
      </c>
      <c r="F39" s="146">
        <f t="shared" ref="F39:F41" si="2">+D39*E39</f>
        <v>50</v>
      </c>
      <c r="G39" s="83"/>
      <c r="H39" s="80">
        <f>E42</f>
        <v>4</v>
      </c>
      <c r="I39" s="62" t="s">
        <v>221</v>
      </c>
      <c r="J39" s="87">
        <f>+H39*0.24</f>
        <v>0.96</v>
      </c>
      <c r="K39" s="93"/>
      <c r="L39" s="124"/>
      <c r="M39" s="502"/>
      <c r="N39" s="502"/>
      <c r="O39" s="83"/>
      <c r="P39" s="83"/>
    </row>
    <row r="40" spans="1:16" s="81" customFormat="1" x14ac:dyDescent="0.25">
      <c r="A40" s="193" t="s">
        <v>213</v>
      </c>
      <c r="B40" s="316" t="s">
        <v>206</v>
      </c>
      <c r="C40" s="315"/>
      <c r="D40" s="316">
        <v>50</v>
      </c>
      <c r="E40" s="147">
        <f>IF(B40="Daily",7, IF(B40="Weekly",1, IF(B40="Every Other Day",4,"")))</f>
        <v>1</v>
      </c>
      <c r="F40" s="99">
        <f t="shared" si="2"/>
        <v>50</v>
      </c>
      <c r="G40" s="83"/>
      <c r="H40" s="80">
        <f>E42</f>
        <v>4</v>
      </c>
      <c r="I40" s="62" t="s">
        <v>200</v>
      </c>
      <c r="J40" s="87">
        <f>H40*0.05</f>
        <v>0.2</v>
      </c>
      <c r="K40" s="93"/>
      <c r="L40" s="83"/>
      <c r="M40" s="503"/>
      <c r="N40" s="503"/>
      <c r="O40" s="83"/>
      <c r="P40" s="83"/>
    </row>
    <row r="41" spans="1:16" s="81" customFormat="1" x14ac:dyDescent="0.25">
      <c r="A41" s="195" t="s">
        <v>214</v>
      </c>
      <c r="B41" s="101" t="s">
        <v>206</v>
      </c>
      <c r="C41" s="102"/>
      <c r="D41" s="101">
        <v>50</v>
      </c>
      <c r="E41" s="144">
        <f>IF(B41="Daily",7, IF(B41="Weekly",1, IF(B41="Every Other Day",4,"")))</f>
        <v>1</v>
      </c>
      <c r="F41" s="103">
        <f t="shared" si="2"/>
        <v>50</v>
      </c>
      <c r="G41" s="83"/>
      <c r="H41" s="303">
        <v>0</v>
      </c>
      <c r="I41" s="71" t="s">
        <v>192</v>
      </c>
      <c r="J41" s="142">
        <f>H41*3.65</f>
        <v>0</v>
      </c>
      <c r="K41" s="143"/>
      <c r="L41" s="83"/>
      <c r="M41" s="503"/>
      <c r="N41" s="503"/>
      <c r="O41" s="83"/>
      <c r="P41" s="83"/>
    </row>
    <row r="42" spans="1:16" s="81" customFormat="1" x14ac:dyDescent="0.25">
      <c r="A42" s="88"/>
      <c r="B42" s="79"/>
      <c r="C42" s="80"/>
      <c r="D42" s="82"/>
      <c r="E42" s="196">
        <f>SUM(E38:E41)</f>
        <v>4</v>
      </c>
      <c r="F42" s="127">
        <f>SUM(F38:F41)</f>
        <v>200</v>
      </c>
      <c r="G42" s="83"/>
      <c r="H42" s="80"/>
      <c r="J42" s="128">
        <f>SUM(J38:J41)</f>
        <v>136.69333333333336</v>
      </c>
      <c r="K42" s="129">
        <v>350</v>
      </c>
      <c r="L42" s="83"/>
      <c r="M42" s="433" t="s">
        <v>202</v>
      </c>
      <c r="N42" s="428">
        <f>+K42-J42</f>
        <v>213.30666666666664</v>
      </c>
      <c r="O42" s="83"/>
      <c r="P42" s="83"/>
    </row>
    <row r="43" spans="1:16" s="81" customFormat="1" x14ac:dyDescent="0.25">
      <c r="A43" s="88"/>
      <c r="B43" s="79"/>
      <c r="C43" s="80"/>
      <c r="D43" s="82"/>
      <c r="E43" s="89" t="s">
        <v>204</v>
      </c>
      <c r="F43" s="110">
        <f>+F42/300</f>
        <v>0.66666666666666663</v>
      </c>
      <c r="G43" s="83"/>
      <c r="H43" s="80"/>
      <c r="I43" s="131" t="s">
        <v>189</v>
      </c>
      <c r="J43" s="113">
        <f>+J42/H38</f>
        <v>0.68346666666666678</v>
      </c>
      <c r="K43" s="112">
        <f>+K42/H38</f>
        <v>1.75</v>
      </c>
      <c r="L43" s="83"/>
      <c r="M43" s="503"/>
      <c r="N43" s="503"/>
      <c r="O43" s="83"/>
      <c r="P43" s="83"/>
    </row>
    <row r="44" spans="1:16" s="81" customFormat="1" x14ac:dyDescent="0.25">
      <c r="A44" s="88"/>
      <c r="B44" s="79"/>
      <c r="C44" s="80"/>
      <c r="D44" s="82"/>
      <c r="E44" s="109"/>
      <c r="G44" s="83"/>
      <c r="L44" s="83"/>
      <c r="M44" s="503"/>
      <c r="N44" s="503"/>
      <c r="O44" s="83"/>
      <c r="P44" s="83"/>
    </row>
    <row r="45" spans="1:16" s="135" customFormat="1" x14ac:dyDescent="0.25">
      <c r="A45" s="132"/>
      <c r="B45" s="133"/>
      <c r="C45" s="134"/>
      <c r="D45" s="136"/>
      <c r="E45" s="137"/>
      <c r="H45" s="134"/>
      <c r="I45" s="138"/>
      <c r="J45" s="139"/>
      <c r="K45" s="140"/>
      <c r="M45" s="505"/>
      <c r="N45" s="505"/>
    </row>
    <row r="46" spans="1:16" s="98" customFormat="1" x14ac:dyDescent="0.25">
      <c r="A46" s="15"/>
      <c r="B46" s="121"/>
      <c r="C46" s="80"/>
      <c r="D46" s="115"/>
      <c r="E46" s="116"/>
      <c r="G46" s="117"/>
      <c r="P46" s="117"/>
    </row>
    <row r="47" spans="1:16" s="125" customFormat="1" ht="31.5" x14ac:dyDescent="0.25">
      <c r="A47" s="653" t="s">
        <v>215</v>
      </c>
      <c r="B47" s="148" t="s">
        <v>199</v>
      </c>
      <c r="C47" s="149" t="s">
        <v>196</v>
      </c>
      <c r="D47" s="148" t="s">
        <v>197</v>
      </c>
      <c r="E47" s="122" t="s">
        <v>198</v>
      </c>
      <c r="F47" s="150" t="s">
        <v>188</v>
      </c>
      <c r="G47" s="124"/>
      <c r="H47" s="80"/>
      <c r="I47" s="98"/>
      <c r="J47" s="98"/>
      <c r="K47" s="209" t="s">
        <v>144</v>
      </c>
      <c r="L47" s="117"/>
      <c r="M47" s="500"/>
      <c r="N47" s="500"/>
      <c r="O47" s="117"/>
      <c r="P47" s="124"/>
    </row>
    <row r="48" spans="1:16" s="81" customFormat="1" x14ac:dyDescent="0.25">
      <c r="A48" s="193" t="s">
        <v>223</v>
      </c>
      <c r="B48" s="199" t="s">
        <v>206</v>
      </c>
      <c r="C48" s="192" t="s">
        <v>473</v>
      </c>
      <c r="D48" s="199">
        <v>60</v>
      </c>
      <c r="E48" s="145">
        <f>IF(B48="Daily",7, IF(B48="Weekly",1, IF(B48="Every Other Day",4,"")))</f>
        <v>1</v>
      </c>
      <c r="F48" s="146">
        <f>+D48*E48</f>
        <v>60</v>
      </c>
      <c r="G48" s="83"/>
      <c r="H48" s="118">
        <f>ROUNDUP(F52,0)</f>
        <v>240</v>
      </c>
      <c r="I48" s="119" t="s">
        <v>201</v>
      </c>
      <c r="J48" s="87">
        <f>F52*B7</f>
        <v>162.64000000000001</v>
      </c>
      <c r="K48" s="210">
        <f>+F52*G7</f>
        <v>242.64000000000004</v>
      </c>
      <c r="L48" s="117"/>
      <c r="M48" s="500"/>
      <c r="N48" s="500"/>
      <c r="O48" s="117"/>
      <c r="P48" s="83"/>
    </row>
    <row r="49" spans="1:16" s="81" customFormat="1" x14ac:dyDescent="0.25">
      <c r="A49" s="193" t="s">
        <v>224</v>
      </c>
      <c r="B49" s="199" t="s">
        <v>206</v>
      </c>
      <c r="C49" s="192"/>
      <c r="D49" s="199">
        <v>60</v>
      </c>
      <c r="E49" s="147">
        <f>IF(B49="Daily",7, IF(B49="Weekly",1, IF(B49="Every Other Day",4,"")))</f>
        <v>1</v>
      </c>
      <c r="F49" s="146">
        <f t="shared" ref="F49:F51" si="3">+D49*E49</f>
        <v>60</v>
      </c>
      <c r="G49" s="83"/>
      <c r="H49" s="80">
        <f>E52</f>
        <v>4</v>
      </c>
      <c r="I49" s="62" t="s">
        <v>221</v>
      </c>
      <c r="J49" s="87">
        <f>+H49*0.24</f>
        <v>0.96</v>
      </c>
      <c r="K49" s="93"/>
      <c r="L49" s="124"/>
      <c r="M49" s="502"/>
      <c r="N49" s="502"/>
      <c r="O49" s="124"/>
      <c r="P49" s="83"/>
    </row>
    <row r="50" spans="1:16" s="81" customFormat="1" x14ac:dyDescent="0.25">
      <c r="A50" s="193" t="s">
        <v>225</v>
      </c>
      <c r="B50" s="316" t="s">
        <v>206</v>
      </c>
      <c r="C50" s="192"/>
      <c r="D50" s="199">
        <v>60</v>
      </c>
      <c r="E50" s="147">
        <f>IF(B50="Daily",7, IF(B50="Weekly",1, IF(B50="Every Other Day",4,"")))</f>
        <v>1</v>
      </c>
      <c r="F50" s="99">
        <f t="shared" si="3"/>
        <v>60</v>
      </c>
      <c r="G50" s="83"/>
      <c r="H50" s="80">
        <f>E52</f>
        <v>4</v>
      </c>
      <c r="I50" s="62" t="s">
        <v>200</v>
      </c>
      <c r="J50" s="87">
        <f>H50*0.05</f>
        <v>0.2</v>
      </c>
      <c r="K50" s="93"/>
      <c r="L50" s="83"/>
      <c r="M50" s="503"/>
      <c r="N50" s="503"/>
      <c r="O50" s="83"/>
      <c r="P50" s="83"/>
    </row>
    <row r="51" spans="1:16" s="81" customFormat="1" x14ac:dyDescent="0.25">
      <c r="A51" s="195" t="s">
        <v>226</v>
      </c>
      <c r="B51" s="101" t="s">
        <v>206</v>
      </c>
      <c r="C51" s="102"/>
      <c r="D51" s="101">
        <v>60</v>
      </c>
      <c r="E51" s="144">
        <f>IF(B51="Daily",7, IF(B51="Weekly",1, IF(B51="Every Other Day",4,"")))</f>
        <v>1</v>
      </c>
      <c r="F51" s="103">
        <f t="shared" si="3"/>
        <v>60</v>
      </c>
      <c r="G51" s="83"/>
      <c r="H51" s="303">
        <v>0</v>
      </c>
      <c r="I51" s="71" t="s">
        <v>192</v>
      </c>
      <c r="J51" s="142">
        <f>H51*3.65</f>
        <v>0</v>
      </c>
      <c r="K51" s="143"/>
      <c r="L51" s="83"/>
      <c r="M51" s="503"/>
      <c r="N51" s="503"/>
      <c r="O51" s="83"/>
      <c r="P51" s="83"/>
    </row>
    <row r="52" spans="1:16" s="81" customFormat="1" x14ac:dyDescent="0.25">
      <c r="A52" s="88"/>
      <c r="B52" s="79"/>
      <c r="C52" s="80"/>
      <c r="D52" s="82"/>
      <c r="E52" s="196">
        <f>SUM(E48:E51)</f>
        <v>4</v>
      </c>
      <c r="F52" s="127">
        <f>SUM(F48:F51)</f>
        <v>240</v>
      </c>
      <c r="G52" s="83"/>
      <c r="H52" s="80"/>
      <c r="J52" s="128">
        <f>SUM(J48:J51)</f>
        <v>163.80000000000001</v>
      </c>
      <c r="K52" s="129">
        <v>350</v>
      </c>
      <c r="L52" s="83"/>
      <c r="M52" s="433" t="s">
        <v>202</v>
      </c>
      <c r="N52" s="428">
        <f>+K52-J52</f>
        <v>186.2</v>
      </c>
      <c r="O52" s="83"/>
      <c r="P52" s="83"/>
    </row>
    <row r="53" spans="1:16" s="81" customFormat="1" x14ac:dyDescent="0.25">
      <c r="A53" s="88"/>
      <c r="B53" s="79"/>
      <c r="C53" s="80"/>
      <c r="D53" s="82"/>
      <c r="E53" s="89" t="s">
        <v>204</v>
      </c>
      <c r="F53" s="110">
        <f>+F52/300</f>
        <v>0.8</v>
      </c>
      <c r="G53" s="83"/>
      <c r="H53" s="80"/>
      <c r="I53" s="131" t="s">
        <v>189</v>
      </c>
      <c r="J53" s="113">
        <f>+J52/H48</f>
        <v>0.6825</v>
      </c>
      <c r="K53" s="112">
        <f>+K52/H48</f>
        <v>1.4583333333333333</v>
      </c>
      <c r="L53" s="83"/>
      <c r="M53" s="503"/>
      <c r="N53" s="503"/>
      <c r="O53" s="83"/>
      <c r="P53" s="83"/>
    </row>
    <row r="54" spans="1:16" x14ac:dyDescent="0.25">
      <c r="D54" s="67"/>
      <c r="E54"/>
      <c r="F54" s="95"/>
      <c r="G54" s="13"/>
      <c r="H54" s="96"/>
      <c r="I54"/>
      <c r="K54" s="62"/>
      <c r="L54"/>
      <c r="M54" s="507"/>
      <c r="N54" s="507"/>
    </row>
    <row r="55" spans="1:16" s="135" customFormat="1" x14ac:dyDescent="0.25">
      <c r="A55" s="132"/>
      <c r="B55" s="133"/>
      <c r="C55" s="134"/>
      <c r="D55" s="136"/>
      <c r="E55" s="137"/>
      <c r="H55" s="134"/>
      <c r="I55" s="138"/>
      <c r="J55" s="139"/>
      <c r="K55" s="140"/>
      <c r="M55" s="505"/>
      <c r="N55" s="505"/>
    </row>
    <row r="56" spans="1:16" s="98" customFormat="1" x14ac:dyDescent="0.25">
      <c r="A56" s="15"/>
      <c r="B56" s="121"/>
      <c r="C56" s="80"/>
      <c r="D56" s="115"/>
      <c r="E56" s="116"/>
      <c r="G56" s="117"/>
      <c r="P56" s="117"/>
    </row>
    <row r="57" spans="1:16" s="125" customFormat="1" ht="31.5" x14ac:dyDescent="0.25">
      <c r="A57" s="653" t="s">
        <v>455</v>
      </c>
      <c r="B57" s="148" t="s">
        <v>199</v>
      </c>
      <c r="C57" s="149" t="s">
        <v>196</v>
      </c>
      <c r="D57" s="148" t="s">
        <v>197</v>
      </c>
      <c r="E57" s="122" t="s">
        <v>198</v>
      </c>
      <c r="F57" s="150" t="s">
        <v>188</v>
      </c>
      <c r="G57" s="124"/>
      <c r="H57" s="80"/>
      <c r="I57" s="98"/>
      <c r="J57" s="98"/>
      <c r="K57" s="209" t="s">
        <v>144</v>
      </c>
      <c r="L57" s="117"/>
      <c r="M57" s="500"/>
      <c r="N57" s="500"/>
      <c r="O57" s="117"/>
      <c r="P57" s="124"/>
    </row>
    <row r="58" spans="1:16" s="81" customFormat="1" x14ac:dyDescent="0.25">
      <c r="A58" s="193" t="s">
        <v>376</v>
      </c>
      <c r="B58" s="199" t="s">
        <v>206</v>
      </c>
      <c r="C58" s="192" t="s">
        <v>474</v>
      </c>
      <c r="D58" s="199">
        <v>70</v>
      </c>
      <c r="E58" s="145">
        <f>IF(B58="Daily",7, IF(B58="Weekly",1, IF(B58="Every Other Day",4,"")))</f>
        <v>1</v>
      </c>
      <c r="F58" s="146">
        <f>+D58*E58</f>
        <v>70</v>
      </c>
      <c r="G58" s="83"/>
      <c r="H58" s="118">
        <f>ROUNDUP(F62,0)</f>
        <v>280</v>
      </c>
      <c r="I58" s="119" t="s">
        <v>201</v>
      </c>
      <c r="J58" s="87">
        <f>F62*B7</f>
        <v>189.7466666666667</v>
      </c>
      <c r="K58" s="210">
        <f>+F62*G7</f>
        <v>283.08000000000004</v>
      </c>
      <c r="L58" s="117"/>
      <c r="M58" s="500"/>
      <c r="N58" s="500"/>
      <c r="O58" s="117"/>
      <c r="P58" s="83"/>
    </row>
    <row r="59" spans="1:16" s="81" customFormat="1" x14ac:dyDescent="0.25">
      <c r="A59" s="193" t="s">
        <v>377</v>
      </c>
      <c r="B59" s="199" t="s">
        <v>206</v>
      </c>
      <c r="C59" s="192"/>
      <c r="D59" s="199">
        <v>70</v>
      </c>
      <c r="E59" s="147">
        <f>IF(B59="Daily",7, IF(B59="Weekly",1, IF(B59="Every Other Day",4,"")))</f>
        <v>1</v>
      </c>
      <c r="F59" s="146">
        <f t="shared" ref="F59:F61" si="4">+D59*E59</f>
        <v>70</v>
      </c>
      <c r="G59" s="83"/>
      <c r="H59" s="80">
        <f>E62</f>
        <v>4</v>
      </c>
      <c r="I59" s="62" t="s">
        <v>221</v>
      </c>
      <c r="J59" s="87">
        <f>+H59*0.24</f>
        <v>0.96</v>
      </c>
      <c r="K59" s="93"/>
      <c r="L59" s="124"/>
      <c r="M59" s="502"/>
      <c r="N59" s="502"/>
      <c r="O59" s="124"/>
      <c r="P59" s="83"/>
    </row>
    <row r="60" spans="1:16" s="81" customFormat="1" x14ac:dyDescent="0.25">
      <c r="A60" s="193" t="s">
        <v>378</v>
      </c>
      <c r="B60" s="316" t="s">
        <v>206</v>
      </c>
      <c r="C60" s="192"/>
      <c r="D60" s="199">
        <v>70</v>
      </c>
      <c r="E60" s="147">
        <f>IF(B60="Daily",7, IF(B60="Weekly",1, IF(B60="Every Other Day",4,"")))</f>
        <v>1</v>
      </c>
      <c r="F60" s="99">
        <f t="shared" si="4"/>
        <v>70</v>
      </c>
      <c r="G60" s="83"/>
      <c r="H60" s="80">
        <f>E62</f>
        <v>4</v>
      </c>
      <c r="I60" s="62" t="s">
        <v>200</v>
      </c>
      <c r="J60" s="87">
        <f>H60*0.05</f>
        <v>0.2</v>
      </c>
      <c r="K60" s="93"/>
      <c r="L60" s="83"/>
      <c r="M60" s="503"/>
      <c r="N60" s="503"/>
      <c r="O60" s="83"/>
      <c r="P60" s="83"/>
    </row>
    <row r="61" spans="1:16" s="81" customFormat="1" x14ac:dyDescent="0.25">
      <c r="A61" s="195" t="s">
        <v>379</v>
      </c>
      <c r="B61" s="101" t="s">
        <v>206</v>
      </c>
      <c r="C61" s="102"/>
      <c r="D61" s="101">
        <v>70</v>
      </c>
      <c r="E61" s="144">
        <f>IF(B61="Daily",7, IF(B61="Weekly",1, IF(B61="Every Other Day",4,"")))</f>
        <v>1</v>
      </c>
      <c r="F61" s="103">
        <f t="shared" si="4"/>
        <v>70</v>
      </c>
      <c r="G61" s="83"/>
      <c r="H61" s="303">
        <v>0</v>
      </c>
      <c r="I61" s="71" t="s">
        <v>192</v>
      </c>
      <c r="J61" s="142">
        <f>H61*3.65</f>
        <v>0</v>
      </c>
      <c r="K61" s="143"/>
      <c r="L61" s="83"/>
      <c r="M61" s="503"/>
      <c r="N61" s="503"/>
      <c r="O61" s="83"/>
      <c r="P61" s="83"/>
    </row>
    <row r="62" spans="1:16" s="81" customFormat="1" x14ac:dyDescent="0.25">
      <c r="A62" s="88"/>
      <c r="B62" s="79"/>
      <c r="C62" s="80"/>
      <c r="D62" s="82"/>
      <c r="E62" s="196">
        <f>SUM(E58:E61)</f>
        <v>4</v>
      </c>
      <c r="F62" s="127">
        <f>SUM(F58:F61)</f>
        <v>280</v>
      </c>
      <c r="G62" s="83"/>
      <c r="H62" s="80"/>
      <c r="J62" s="128">
        <f>SUM(J58:J61)</f>
        <v>190.90666666666669</v>
      </c>
      <c r="K62" s="129">
        <v>350</v>
      </c>
      <c r="L62" s="83"/>
      <c r="M62" s="433" t="s">
        <v>202</v>
      </c>
      <c r="N62" s="428">
        <f>+K62-J62</f>
        <v>159.09333333333331</v>
      </c>
      <c r="O62" s="83"/>
      <c r="P62" s="83"/>
    </row>
    <row r="63" spans="1:16" s="81" customFormat="1" x14ac:dyDescent="0.25">
      <c r="A63" s="88"/>
      <c r="B63" s="79"/>
      <c r="C63" s="80"/>
      <c r="D63" s="82"/>
      <c r="E63" s="89" t="s">
        <v>204</v>
      </c>
      <c r="F63" s="110">
        <f>+F62/300</f>
        <v>0.93333333333333335</v>
      </c>
      <c r="G63" s="83"/>
      <c r="H63" s="80"/>
      <c r="I63" s="131" t="s">
        <v>189</v>
      </c>
      <c r="J63" s="113">
        <f>+J62/H58</f>
        <v>0.68180952380952387</v>
      </c>
      <c r="K63" s="112">
        <f>+K62/H58</f>
        <v>1.25</v>
      </c>
      <c r="L63" s="83"/>
      <c r="M63" s="503"/>
      <c r="N63" s="503"/>
      <c r="O63" s="83"/>
      <c r="P63" s="83"/>
    </row>
    <row r="64" spans="1:16" x14ac:dyDescent="0.25">
      <c r="D64" s="67"/>
      <c r="E64"/>
      <c r="F64" s="95"/>
      <c r="G64" s="13"/>
      <c r="H64" s="96"/>
      <c r="I64"/>
      <c r="K64" s="62"/>
      <c r="L64"/>
      <c r="M64" s="507"/>
      <c r="N64" s="507"/>
    </row>
    <row r="65" spans="1:16" s="135" customFormat="1" x14ac:dyDescent="0.25">
      <c r="A65" s="132"/>
      <c r="B65" s="133"/>
      <c r="C65" s="134"/>
      <c r="D65" s="136"/>
      <c r="E65" s="137"/>
      <c r="H65" s="134"/>
      <c r="I65" s="138"/>
      <c r="J65" s="139"/>
      <c r="K65" s="140"/>
      <c r="M65" s="505"/>
      <c r="N65" s="505"/>
    </row>
    <row r="66" spans="1:16" s="98" customFormat="1" x14ac:dyDescent="0.25">
      <c r="A66" s="15"/>
      <c r="B66" s="121"/>
      <c r="C66" s="80"/>
      <c r="D66" s="115"/>
      <c r="E66" s="116"/>
      <c r="G66" s="117"/>
      <c r="P66" s="117"/>
    </row>
    <row r="67" spans="1:16" s="125" customFormat="1" ht="31.5" x14ac:dyDescent="0.25">
      <c r="A67" s="653" t="s">
        <v>456</v>
      </c>
      <c r="B67" s="148" t="s">
        <v>199</v>
      </c>
      <c r="C67" s="149" t="s">
        <v>196</v>
      </c>
      <c r="D67" s="148" t="s">
        <v>197</v>
      </c>
      <c r="E67" s="122" t="s">
        <v>198</v>
      </c>
      <c r="F67" s="150" t="s">
        <v>188</v>
      </c>
      <c r="G67" s="124"/>
      <c r="H67" s="80"/>
      <c r="I67" s="98"/>
      <c r="J67" s="98"/>
      <c r="K67" s="209" t="s">
        <v>144</v>
      </c>
      <c r="L67" s="117"/>
      <c r="M67" s="500"/>
      <c r="N67" s="500"/>
      <c r="O67" s="117"/>
      <c r="P67" s="124"/>
    </row>
    <row r="68" spans="1:16" s="81" customFormat="1" x14ac:dyDescent="0.25">
      <c r="A68" s="193" t="s">
        <v>428</v>
      </c>
      <c r="B68" s="199" t="s">
        <v>206</v>
      </c>
      <c r="C68" s="192" t="s">
        <v>469</v>
      </c>
      <c r="D68" s="199">
        <v>80</v>
      </c>
      <c r="E68" s="145">
        <f>IF(B68="Daily",7, IF(B68="Weekly",1, IF(B68="Every Other Day",4,"")))</f>
        <v>1</v>
      </c>
      <c r="F68" s="146">
        <f>+D68*E68</f>
        <v>80</v>
      </c>
      <c r="G68" s="83"/>
      <c r="H68" s="118">
        <f>ROUNDUP(F72,0)</f>
        <v>320</v>
      </c>
      <c r="I68" s="119" t="s">
        <v>201</v>
      </c>
      <c r="J68" s="87">
        <f>F72*B7</f>
        <v>216.85333333333335</v>
      </c>
      <c r="K68" s="210">
        <f>+F72*G7</f>
        <v>323.52000000000004</v>
      </c>
      <c r="L68" s="117"/>
      <c r="M68" s="500"/>
      <c r="N68" s="500"/>
      <c r="O68" s="117"/>
      <c r="P68" s="83"/>
    </row>
    <row r="69" spans="1:16" s="81" customFormat="1" x14ac:dyDescent="0.25">
      <c r="A69" s="193" t="s">
        <v>429</v>
      </c>
      <c r="B69" s="199" t="s">
        <v>206</v>
      </c>
      <c r="C69" s="192"/>
      <c r="D69" s="199">
        <v>80</v>
      </c>
      <c r="E69" s="147">
        <f>IF(B69="Daily",7, IF(B69="Weekly",1, IF(B69="Every Other Day",4,"")))</f>
        <v>1</v>
      </c>
      <c r="F69" s="146">
        <f t="shared" ref="F69:F71" si="5">+D69*E69</f>
        <v>80</v>
      </c>
      <c r="G69" s="83"/>
      <c r="H69" s="80">
        <f>E72</f>
        <v>4</v>
      </c>
      <c r="I69" s="62" t="s">
        <v>221</v>
      </c>
      <c r="J69" s="87">
        <f>+H69*0.24</f>
        <v>0.96</v>
      </c>
      <c r="K69" s="93"/>
      <c r="L69" s="124"/>
      <c r="M69" s="502"/>
      <c r="N69" s="502"/>
      <c r="O69" s="124"/>
      <c r="P69" s="83"/>
    </row>
    <row r="70" spans="1:16" s="81" customFormat="1" x14ac:dyDescent="0.25">
      <c r="A70" s="193" t="s">
        <v>430</v>
      </c>
      <c r="B70" s="316" t="s">
        <v>206</v>
      </c>
      <c r="C70" s="192"/>
      <c r="D70" s="199">
        <v>80</v>
      </c>
      <c r="E70" s="147">
        <f>IF(B70="Daily",7, IF(B70="Weekly",1, IF(B70="Every Other Day",4,"")))</f>
        <v>1</v>
      </c>
      <c r="F70" s="146">
        <f t="shared" si="5"/>
        <v>80</v>
      </c>
      <c r="G70" s="83"/>
      <c r="H70" s="80">
        <f>E72</f>
        <v>4</v>
      </c>
      <c r="I70" s="62" t="s">
        <v>200</v>
      </c>
      <c r="J70" s="87">
        <f>H70*0.05</f>
        <v>0.2</v>
      </c>
      <c r="K70" s="93"/>
      <c r="L70" s="83"/>
      <c r="M70" s="503"/>
      <c r="N70" s="503"/>
      <c r="O70" s="83"/>
      <c r="P70" s="83"/>
    </row>
    <row r="71" spans="1:16" s="81" customFormat="1" x14ac:dyDescent="0.25">
      <c r="A71" s="195" t="s">
        <v>432</v>
      </c>
      <c r="B71" s="101" t="s">
        <v>206</v>
      </c>
      <c r="C71" s="102"/>
      <c r="D71" s="101">
        <v>80</v>
      </c>
      <c r="E71" s="144">
        <f>IF(B71="Daily",7, IF(B71="Weekly",1, IF(B71="Every Other Day",4,"")))</f>
        <v>1</v>
      </c>
      <c r="F71" s="146">
        <f t="shared" si="5"/>
        <v>80</v>
      </c>
      <c r="G71" s="83"/>
      <c r="H71" s="303">
        <v>0</v>
      </c>
      <c r="I71" s="71" t="s">
        <v>192</v>
      </c>
      <c r="J71" s="142">
        <f>H71*3.65</f>
        <v>0</v>
      </c>
      <c r="K71" s="143"/>
      <c r="L71" s="83"/>
      <c r="M71" s="503"/>
      <c r="N71" s="503"/>
      <c r="O71" s="83"/>
      <c r="P71" s="83"/>
    </row>
    <row r="72" spans="1:16" s="81" customFormat="1" x14ac:dyDescent="0.25">
      <c r="A72" s="88"/>
      <c r="B72" s="79"/>
      <c r="C72" s="80"/>
      <c r="D72" s="82"/>
      <c r="E72" s="196">
        <f>SUM(E68:E71)</f>
        <v>4</v>
      </c>
      <c r="F72" s="127">
        <f>SUM(F68:F71)</f>
        <v>320</v>
      </c>
      <c r="G72" s="83"/>
      <c r="H72" s="80"/>
      <c r="J72" s="128">
        <f>SUM(J68:J71)</f>
        <v>218.01333333333335</v>
      </c>
      <c r="K72" s="129">
        <v>350</v>
      </c>
      <c r="L72" s="83"/>
      <c r="M72" s="522" t="s">
        <v>202</v>
      </c>
      <c r="N72" s="428">
        <f>+K72-J72</f>
        <v>131.98666666666665</v>
      </c>
      <c r="O72" s="83"/>
      <c r="P72" s="83"/>
    </row>
    <row r="73" spans="1:16" s="81" customFormat="1" x14ac:dyDescent="0.25">
      <c r="A73" s="88"/>
      <c r="B73" s="79"/>
      <c r="C73" s="80"/>
      <c r="D73" s="82"/>
      <c r="E73" s="89" t="s">
        <v>204</v>
      </c>
      <c r="F73" s="110">
        <f>+F72/300</f>
        <v>1.0666666666666667</v>
      </c>
      <c r="G73" s="83"/>
      <c r="H73" s="80"/>
      <c r="I73" s="131" t="s">
        <v>189</v>
      </c>
      <c r="J73" s="113">
        <f>+J72/H68</f>
        <v>0.68129166666666674</v>
      </c>
      <c r="K73" s="112">
        <f>+K72/H68</f>
        <v>1.09375</v>
      </c>
      <c r="L73" s="83"/>
      <c r="M73" s="503"/>
      <c r="N73" s="503"/>
      <c r="O73" s="83"/>
      <c r="P73" s="83"/>
    </row>
    <row r="74" spans="1:16" x14ac:dyDescent="0.25">
      <c r="D74" s="67"/>
      <c r="E74"/>
      <c r="F74" s="95"/>
      <c r="G74" s="13"/>
      <c r="H74" s="96"/>
      <c r="I74"/>
      <c r="K74" s="62"/>
      <c r="L74"/>
      <c r="M74" s="507"/>
      <c r="N74" s="507"/>
    </row>
    <row r="75" spans="1:16" s="135" customFormat="1" x14ac:dyDescent="0.25">
      <c r="A75" s="132"/>
      <c r="B75" s="133"/>
      <c r="C75" s="134"/>
      <c r="D75" s="136"/>
      <c r="E75" s="137"/>
      <c r="H75" s="134"/>
      <c r="I75" s="138"/>
      <c r="J75" s="139"/>
      <c r="K75" s="140"/>
      <c r="M75" s="503"/>
      <c r="N75" s="503"/>
    </row>
    <row r="76" spans="1:16" s="98" customFormat="1" x14ac:dyDescent="0.25">
      <c r="A76" s="15"/>
      <c r="B76" s="121"/>
      <c r="C76" s="80"/>
      <c r="D76" s="115"/>
      <c r="E76" s="116"/>
      <c r="G76" s="117"/>
      <c r="M76" s="117"/>
      <c r="N76" s="117"/>
      <c r="P76" s="117"/>
    </row>
    <row r="77" spans="1:16" s="125" customFormat="1" ht="31.5" x14ac:dyDescent="0.25">
      <c r="A77" s="653" t="s">
        <v>457</v>
      </c>
      <c r="B77" s="148" t="s">
        <v>199</v>
      </c>
      <c r="C77" s="149" t="s">
        <v>196</v>
      </c>
      <c r="D77" s="148" t="s">
        <v>197</v>
      </c>
      <c r="E77" s="122" t="s">
        <v>198</v>
      </c>
      <c r="F77" s="150" t="s">
        <v>188</v>
      </c>
      <c r="G77" s="124"/>
      <c r="H77" s="80"/>
      <c r="I77" s="98"/>
      <c r="J77" s="98"/>
      <c r="K77" s="209" t="s">
        <v>144</v>
      </c>
      <c r="L77" s="117"/>
      <c r="M77" s="500"/>
      <c r="N77" s="500"/>
      <c r="O77" s="117"/>
      <c r="P77" s="124"/>
    </row>
    <row r="78" spans="1:16" s="81" customFormat="1" x14ac:dyDescent="0.25">
      <c r="A78" s="193" t="s">
        <v>433</v>
      </c>
      <c r="B78" s="199" t="s">
        <v>206</v>
      </c>
      <c r="C78" s="192" t="s">
        <v>475</v>
      </c>
      <c r="D78" s="199">
        <v>90</v>
      </c>
      <c r="E78" s="145">
        <f>IF(B78="Daily",7, IF(B78="Weekly",1, IF(B78="Every Other Day",4,"")))</f>
        <v>1</v>
      </c>
      <c r="F78" s="146">
        <f>+D78*E78</f>
        <v>90</v>
      </c>
      <c r="G78" s="83"/>
      <c r="H78" s="118">
        <f>ROUNDUP(F82,0)</f>
        <v>360</v>
      </c>
      <c r="I78" s="119" t="s">
        <v>201</v>
      </c>
      <c r="J78" s="87">
        <f>F82*B7</f>
        <v>243.96000000000004</v>
      </c>
      <c r="K78" s="210">
        <f>+F82*G7</f>
        <v>363.96000000000004</v>
      </c>
      <c r="L78" s="117"/>
      <c r="M78" s="500"/>
      <c r="N78" s="500"/>
      <c r="O78" s="117"/>
      <c r="P78" s="83"/>
    </row>
    <row r="79" spans="1:16" s="81" customFormat="1" x14ac:dyDescent="0.25">
      <c r="A79" s="193" t="s">
        <v>434</v>
      </c>
      <c r="B79" s="199" t="s">
        <v>206</v>
      </c>
      <c r="C79" s="192"/>
      <c r="D79" s="199">
        <v>90</v>
      </c>
      <c r="E79" s="147">
        <f>IF(B79="Daily",7, IF(B79="Weekly",1, IF(B79="Every Other Day",4,"")))</f>
        <v>1</v>
      </c>
      <c r="F79" s="146">
        <f t="shared" ref="F79:F81" si="6">+D79*E79</f>
        <v>90</v>
      </c>
      <c r="G79" s="83"/>
      <c r="H79" s="80">
        <f>E82</f>
        <v>4</v>
      </c>
      <c r="I79" s="62" t="s">
        <v>221</v>
      </c>
      <c r="J79" s="87">
        <f>+H79*0.24</f>
        <v>0.96</v>
      </c>
      <c r="K79" s="93"/>
      <c r="L79" s="124"/>
      <c r="M79" s="502"/>
      <c r="N79" s="502"/>
      <c r="O79" s="124"/>
      <c r="P79" s="83"/>
    </row>
    <row r="80" spans="1:16" s="81" customFormat="1" x14ac:dyDescent="0.25">
      <c r="A80" s="193" t="s">
        <v>435</v>
      </c>
      <c r="B80" s="316" t="s">
        <v>206</v>
      </c>
      <c r="C80" s="315"/>
      <c r="D80" s="316">
        <v>90</v>
      </c>
      <c r="E80" s="147">
        <f>IF(B80="Daily",7, IF(B80="Weekly",1, IF(B80="Every Other Day",4,"")))</f>
        <v>1</v>
      </c>
      <c r="F80" s="146">
        <f t="shared" si="6"/>
        <v>90</v>
      </c>
      <c r="G80" s="83"/>
      <c r="H80" s="80">
        <f>E82</f>
        <v>4</v>
      </c>
      <c r="I80" s="62" t="s">
        <v>200</v>
      </c>
      <c r="J80" s="87">
        <f>H80*0.05</f>
        <v>0.2</v>
      </c>
      <c r="K80" s="93"/>
      <c r="L80" s="83"/>
      <c r="M80" s="503"/>
      <c r="N80" s="503"/>
      <c r="O80" s="83"/>
      <c r="P80" s="83"/>
    </row>
    <row r="81" spans="1:16" s="81" customFormat="1" x14ac:dyDescent="0.25">
      <c r="A81" s="195" t="s">
        <v>436</v>
      </c>
      <c r="B81" s="101" t="s">
        <v>206</v>
      </c>
      <c r="C81" s="102"/>
      <c r="D81" s="101">
        <v>90</v>
      </c>
      <c r="E81" s="144">
        <f>IF(B81="Daily",7, IF(B81="Weekly",1, IF(B81="Every Other Day",4,"")))</f>
        <v>1</v>
      </c>
      <c r="F81" s="146">
        <f t="shared" si="6"/>
        <v>90</v>
      </c>
      <c r="G81" s="83"/>
      <c r="H81" s="303">
        <v>0</v>
      </c>
      <c r="I81" s="71" t="s">
        <v>192</v>
      </c>
      <c r="J81" s="142">
        <f>H81*3.65</f>
        <v>0</v>
      </c>
      <c r="K81" s="143"/>
      <c r="L81" s="83"/>
      <c r="M81" s="503"/>
      <c r="N81" s="503"/>
      <c r="O81" s="83"/>
      <c r="P81" s="83"/>
    </row>
    <row r="82" spans="1:16" s="81" customFormat="1" x14ac:dyDescent="0.25">
      <c r="A82" s="88"/>
      <c r="B82" s="79"/>
      <c r="C82" s="80"/>
      <c r="D82" s="82"/>
      <c r="E82" s="196">
        <f>SUM(E78:E81)</f>
        <v>4</v>
      </c>
      <c r="F82" s="127">
        <f>SUM(F78:F81)</f>
        <v>360</v>
      </c>
      <c r="G82" s="83"/>
      <c r="H82" s="80"/>
      <c r="J82" s="128">
        <f>SUM(J78:J81)</f>
        <v>245.12000000000003</v>
      </c>
      <c r="K82" s="129">
        <v>350</v>
      </c>
      <c r="L82" s="83"/>
      <c r="M82" s="522" t="s">
        <v>202</v>
      </c>
      <c r="N82" s="428">
        <f>+K82-J82</f>
        <v>104.87999999999997</v>
      </c>
      <c r="O82" s="83"/>
      <c r="P82" s="83"/>
    </row>
    <row r="83" spans="1:16" s="81" customFormat="1" x14ac:dyDescent="0.25">
      <c r="A83" s="88"/>
      <c r="B83" s="79"/>
      <c r="C83" s="80"/>
      <c r="D83" s="82"/>
      <c r="E83" s="89" t="s">
        <v>204</v>
      </c>
      <c r="F83" s="110">
        <f>+F82/300</f>
        <v>1.2</v>
      </c>
      <c r="G83" s="83"/>
      <c r="H83" s="80"/>
      <c r="I83" s="131" t="s">
        <v>189</v>
      </c>
      <c r="J83" s="113">
        <f>+J82/H78</f>
        <v>0.68088888888888899</v>
      </c>
      <c r="K83" s="112">
        <f>+K82/H78</f>
        <v>0.97222222222222221</v>
      </c>
      <c r="L83" s="83"/>
      <c r="M83" s="503"/>
      <c r="N83" s="503"/>
      <c r="O83" s="83"/>
      <c r="P83" s="83"/>
    </row>
    <row r="84" spans="1:16" x14ac:dyDescent="0.25">
      <c r="D84" s="67"/>
      <c r="E84"/>
      <c r="F84" s="95"/>
      <c r="G84" s="13"/>
      <c r="H84" s="96"/>
      <c r="I84"/>
      <c r="K84" s="62"/>
      <c r="L84"/>
      <c r="M84" s="507"/>
      <c r="N84" s="507"/>
    </row>
    <row r="85" spans="1:16" s="135" customFormat="1" x14ac:dyDescent="0.25">
      <c r="A85" s="132"/>
      <c r="B85" s="133"/>
      <c r="C85" s="134"/>
      <c r="D85" s="136"/>
      <c r="E85" s="137"/>
      <c r="H85" s="134"/>
      <c r="I85" s="138"/>
      <c r="J85" s="139"/>
      <c r="K85" s="140"/>
      <c r="M85" s="503"/>
      <c r="N85" s="503"/>
    </row>
    <row r="86" spans="1:16" s="98" customFormat="1" x14ac:dyDescent="0.25">
      <c r="A86" s="15"/>
      <c r="B86" s="121"/>
      <c r="C86" s="80"/>
      <c r="D86" s="115"/>
      <c r="E86" s="116"/>
      <c r="G86" s="117"/>
      <c r="M86" s="117"/>
      <c r="N86" s="117"/>
      <c r="P86" s="117"/>
    </row>
    <row r="87" spans="1:16" s="125" customFormat="1" ht="31.5" x14ac:dyDescent="0.25">
      <c r="A87" s="653" t="s">
        <v>458</v>
      </c>
      <c r="B87" s="148" t="s">
        <v>199</v>
      </c>
      <c r="C87" s="149" t="s">
        <v>196</v>
      </c>
      <c r="D87" s="148" t="s">
        <v>197</v>
      </c>
      <c r="E87" s="122" t="s">
        <v>198</v>
      </c>
      <c r="F87" s="150" t="s">
        <v>188</v>
      </c>
      <c r="G87" s="124"/>
      <c r="H87" s="80"/>
      <c r="I87" s="98"/>
      <c r="J87" s="98"/>
      <c r="K87" s="209" t="s">
        <v>144</v>
      </c>
      <c r="L87" s="117"/>
      <c r="M87" s="500"/>
      <c r="N87" s="500"/>
      <c r="O87" s="117"/>
      <c r="P87" s="124"/>
    </row>
    <row r="88" spans="1:16" s="81" customFormat="1" x14ac:dyDescent="0.25">
      <c r="A88" s="193" t="s">
        <v>437</v>
      </c>
      <c r="B88" s="199" t="s">
        <v>206</v>
      </c>
      <c r="C88" s="192" t="s">
        <v>470</v>
      </c>
      <c r="D88" s="199">
        <v>100</v>
      </c>
      <c r="E88" s="145">
        <f>IF(B88="Daily",7, IF(B88="Weekly",1, IF(B88="Every Other Day",4,"")))</f>
        <v>1</v>
      </c>
      <c r="F88" s="146">
        <f>+D88*E88</f>
        <v>100</v>
      </c>
      <c r="G88" s="83"/>
      <c r="H88" s="118">
        <f>ROUNDUP(F92,0)</f>
        <v>400</v>
      </c>
      <c r="I88" s="119" t="s">
        <v>201</v>
      </c>
      <c r="J88" s="87">
        <f>F92*B7</f>
        <v>271.06666666666672</v>
      </c>
      <c r="K88" s="210">
        <f>+F92*G7</f>
        <v>404.40000000000003</v>
      </c>
      <c r="L88" s="117"/>
      <c r="M88" s="500"/>
      <c r="N88" s="500"/>
      <c r="O88" s="117"/>
      <c r="P88" s="83"/>
    </row>
    <row r="89" spans="1:16" s="81" customFormat="1" x14ac:dyDescent="0.25">
      <c r="A89" s="193" t="s">
        <v>438</v>
      </c>
      <c r="B89" s="199" t="s">
        <v>206</v>
      </c>
      <c r="C89" s="192"/>
      <c r="D89" s="199">
        <v>100</v>
      </c>
      <c r="E89" s="147">
        <f>IF(B89="Daily",7, IF(B89="Weekly",1, IF(B89="Every Other Day",4,"")))</f>
        <v>1</v>
      </c>
      <c r="F89" s="146">
        <f t="shared" ref="F89:F91" si="7">+D89*E89</f>
        <v>100</v>
      </c>
      <c r="G89" s="83"/>
      <c r="H89" s="80">
        <f>E92</f>
        <v>4</v>
      </c>
      <c r="I89" s="62" t="s">
        <v>221</v>
      </c>
      <c r="J89" s="87">
        <f>+H89*0.24</f>
        <v>0.96</v>
      </c>
      <c r="K89" s="93"/>
      <c r="L89" s="124"/>
      <c r="M89" s="502"/>
      <c r="N89" s="502"/>
      <c r="O89" s="124"/>
      <c r="P89" s="83"/>
    </row>
    <row r="90" spans="1:16" s="81" customFormat="1" x14ac:dyDescent="0.25">
      <c r="A90" s="193" t="s">
        <v>439</v>
      </c>
      <c r="B90" s="316" t="s">
        <v>206</v>
      </c>
      <c r="C90" s="192"/>
      <c r="D90" s="199">
        <v>100</v>
      </c>
      <c r="E90" s="147">
        <f>IF(B90="Daily",7, IF(B90="Weekly",1, IF(B90="Every Other Day",4,"")))</f>
        <v>1</v>
      </c>
      <c r="F90" s="146">
        <f t="shared" si="7"/>
        <v>100</v>
      </c>
      <c r="G90" s="83"/>
      <c r="H90" s="80">
        <f>E92</f>
        <v>4</v>
      </c>
      <c r="I90" s="62" t="s">
        <v>200</v>
      </c>
      <c r="J90" s="87">
        <f>H90*0.05</f>
        <v>0.2</v>
      </c>
      <c r="K90" s="93"/>
      <c r="L90" s="83"/>
      <c r="M90" s="503"/>
      <c r="N90" s="503"/>
      <c r="O90" s="83"/>
      <c r="P90" s="83"/>
    </row>
    <row r="91" spans="1:16" s="81" customFormat="1" x14ac:dyDescent="0.25">
      <c r="A91" s="195" t="s">
        <v>440</v>
      </c>
      <c r="B91" s="101" t="s">
        <v>206</v>
      </c>
      <c r="C91" s="102"/>
      <c r="D91" s="101">
        <v>100</v>
      </c>
      <c r="E91" s="144">
        <f>IF(B91="Daily",7, IF(B91="Weekly",1, IF(B91="Every Other Day",4,"")))</f>
        <v>1</v>
      </c>
      <c r="F91" s="146">
        <f t="shared" si="7"/>
        <v>100</v>
      </c>
      <c r="G91" s="83"/>
      <c r="H91" s="303">
        <v>0</v>
      </c>
      <c r="I91" s="71" t="s">
        <v>192</v>
      </c>
      <c r="J91" s="142">
        <f>H91*3.65</f>
        <v>0</v>
      </c>
      <c r="K91" s="143"/>
      <c r="L91" s="83"/>
      <c r="M91" s="503"/>
      <c r="N91" s="503"/>
      <c r="O91" s="83"/>
      <c r="P91" s="83"/>
    </row>
    <row r="92" spans="1:16" s="81" customFormat="1" x14ac:dyDescent="0.25">
      <c r="A92" s="88"/>
      <c r="B92" s="79"/>
      <c r="C92" s="80"/>
      <c r="D92" s="82"/>
      <c r="E92" s="196">
        <f>SUM(E88:E91)</f>
        <v>4</v>
      </c>
      <c r="F92" s="127">
        <f>SUM(F88:F91)</f>
        <v>400</v>
      </c>
      <c r="G92" s="83"/>
      <c r="H92" s="80"/>
      <c r="J92" s="128">
        <f>SUM(J88:J91)</f>
        <v>272.22666666666669</v>
      </c>
      <c r="K92" s="129">
        <v>350</v>
      </c>
      <c r="L92" s="83"/>
      <c r="M92" s="522" t="s">
        <v>202</v>
      </c>
      <c r="N92" s="428">
        <f>+K92-J92</f>
        <v>77.773333333333312</v>
      </c>
      <c r="O92" s="83"/>
      <c r="P92" s="83"/>
    </row>
    <row r="93" spans="1:16" s="81" customFormat="1" x14ac:dyDescent="0.25">
      <c r="A93" s="88"/>
      <c r="B93" s="79"/>
      <c r="C93" s="80"/>
      <c r="D93" s="82"/>
      <c r="E93" s="89" t="s">
        <v>204</v>
      </c>
      <c r="F93" s="110">
        <f>+F92/300</f>
        <v>1.3333333333333333</v>
      </c>
      <c r="G93" s="83"/>
      <c r="H93" s="80"/>
      <c r="I93" s="131" t="s">
        <v>189</v>
      </c>
      <c r="J93" s="113">
        <f>+J92/H88</f>
        <v>0.68056666666666676</v>
      </c>
      <c r="K93" s="112">
        <f>+K92/H88</f>
        <v>0.875</v>
      </c>
      <c r="L93" s="83"/>
      <c r="M93" s="503"/>
      <c r="N93" s="503"/>
      <c r="O93" s="83"/>
      <c r="P93" s="83"/>
    </row>
    <row r="94" spans="1:16" x14ac:dyDescent="0.25">
      <c r="D94" s="67"/>
      <c r="E94"/>
      <c r="F94" s="95"/>
      <c r="G94" s="13"/>
      <c r="H94" s="96"/>
      <c r="I94"/>
      <c r="K94" s="62"/>
      <c r="L94"/>
      <c r="M94" s="507"/>
      <c r="N94" s="507"/>
    </row>
    <row r="95" spans="1:16" s="379" customFormat="1" x14ac:dyDescent="0.25">
      <c r="E95" s="380"/>
      <c r="G95" s="381"/>
      <c r="H95" s="382"/>
      <c r="I95" s="383"/>
      <c r="L95" s="141"/>
      <c r="N95" s="531"/>
      <c r="O95" s="506"/>
    </row>
    <row r="96" spans="1:16" s="379" customFormat="1" x14ac:dyDescent="0.25">
      <c r="D96" s="380"/>
      <c r="F96" s="141"/>
      <c r="G96" s="382"/>
      <c r="H96" s="383"/>
      <c r="K96" s="141"/>
      <c r="N96" s="506"/>
      <c r="O96" s="506"/>
    </row>
    <row r="97" spans="1:15" s="379" customFormat="1" x14ac:dyDescent="0.25">
      <c r="D97" s="380"/>
      <c r="F97" s="141"/>
      <c r="G97" s="382"/>
      <c r="H97" s="383"/>
      <c r="K97" s="141"/>
      <c r="N97" s="506"/>
      <c r="O97" s="506"/>
    </row>
    <row r="98" spans="1:15" s="379" customFormat="1" x14ac:dyDescent="0.25">
      <c r="D98" s="380"/>
      <c r="F98" s="141"/>
      <c r="G98" s="382"/>
      <c r="H98" s="383"/>
      <c r="K98" s="141"/>
      <c r="N98" s="506"/>
      <c r="O98" s="506"/>
    </row>
    <row r="99" spans="1:15" x14ac:dyDescent="0.25">
      <c r="D99" s="67"/>
      <c r="E99"/>
      <c r="F99" s="62"/>
      <c r="G99" s="13"/>
      <c r="H99" s="96"/>
      <c r="I99"/>
      <c r="K99" s="62"/>
      <c r="L99"/>
      <c r="M99" s="62"/>
      <c r="N99" s="507"/>
      <c r="O99" s="507"/>
    </row>
    <row r="100" spans="1:15" x14ac:dyDescent="0.25">
      <c r="A100" t="s">
        <v>351</v>
      </c>
      <c r="D100" s="67"/>
      <c r="E100" s="62"/>
      <c r="F100" s="62"/>
      <c r="G100" s="13"/>
      <c r="H100" s="96"/>
      <c r="I100" s="62"/>
      <c r="J100" s="62"/>
      <c r="K100" s="62"/>
      <c r="L100"/>
      <c r="N100" s="507"/>
      <c r="O100" s="507"/>
    </row>
    <row r="101" spans="1:15" ht="17.25" customHeight="1" x14ac:dyDescent="0.25">
      <c r="D101" s="532" t="s">
        <v>375</v>
      </c>
      <c r="E101" s="62"/>
      <c r="F101" s="62"/>
      <c r="G101" s="13"/>
      <c r="H101" s="96"/>
      <c r="I101" s="62"/>
      <c r="J101" s="62"/>
      <c r="K101" s="62"/>
      <c r="L101"/>
      <c r="N101" s="507"/>
      <c r="O101" s="507"/>
    </row>
    <row r="102" spans="1:15" s="61" customFormat="1" x14ac:dyDescent="0.25">
      <c r="A102" s="61" t="s">
        <v>368</v>
      </c>
      <c r="D102" s="61" t="s">
        <v>369</v>
      </c>
      <c r="E102" s="453"/>
      <c r="F102" s="453"/>
      <c r="G102" s="458"/>
      <c r="H102" s="459"/>
      <c r="I102" s="453"/>
      <c r="J102" s="453"/>
      <c r="K102" s="453"/>
      <c r="N102" s="563"/>
      <c r="O102" s="563"/>
    </row>
    <row r="103" spans="1:15" x14ac:dyDescent="0.25">
      <c r="B103" s="61"/>
      <c r="D103" s="67"/>
      <c r="E103" s="62" t="s">
        <v>366</v>
      </c>
      <c r="F103" s="461">
        <f>F52</f>
        <v>240</v>
      </c>
      <c r="G103" s="13"/>
      <c r="H103" s="96"/>
      <c r="I103" s="62"/>
      <c r="J103" s="62"/>
      <c r="K103" s="62"/>
      <c r="L103"/>
      <c r="N103" s="507"/>
      <c r="O103" s="507"/>
    </row>
    <row r="104" spans="1:15" x14ac:dyDescent="0.25">
      <c r="A104" s="368" t="s">
        <v>364</v>
      </c>
      <c r="B104" s="460">
        <f>N52</f>
        <v>186.2</v>
      </c>
      <c r="D104" s="67"/>
      <c r="E104" s="71" t="s">
        <v>360</v>
      </c>
      <c r="F104" s="71">
        <v>10</v>
      </c>
      <c r="G104" s="13"/>
      <c r="H104" s="96"/>
      <c r="I104" s="62"/>
      <c r="J104" s="62"/>
      <c r="K104" s="62"/>
      <c r="L104"/>
    </row>
    <row r="105" spans="1:15" x14ac:dyDescent="0.25">
      <c r="D105" s="67"/>
      <c r="E105" s="62"/>
      <c r="F105" s="62">
        <f>+F104*F103</f>
        <v>2400</v>
      </c>
      <c r="G105" s="13" t="s">
        <v>367</v>
      </c>
      <c r="H105" s="96"/>
      <c r="I105" s="62"/>
      <c r="J105" s="62"/>
      <c r="K105" s="62"/>
      <c r="L105"/>
    </row>
    <row r="106" spans="1:15" x14ac:dyDescent="0.25">
      <c r="D106" s="67"/>
      <c r="E106" s="453" t="s">
        <v>361</v>
      </c>
      <c r="F106" s="453">
        <f>ROUNDUP((F105/300),0)</f>
        <v>8</v>
      </c>
      <c r="G106" s="13"/>
      <c r="H106" s="96"/>
      <c r="I106" s="62"/>
      <c r="J106" s="62"/>
      <c r="K106" s="62"/>
      <c r="L106"/>
    </row>
    <row r="107" spans="1:15" x14ac:dyDescent="0.25">
      <c r="D107" s="67"/>
      <c r="E107" s="62" t="s">
        <v>362</v>
      </c>
      <c r="F107" s="454">
        <f>+F106*F5</f>
        <v>800</v>
      </c>
      <c r="G107" s="13"/>
      <c r="H107" s="96"/>
      <c r="I107" s="62"/>
      <c r="J107" s="62"/>
      <c r="K107" s="62"/>
      <c r="L107"/>
    </row>
    <row r="108" spans="1:15" x14ac:dyDescent="0.25">
      <c r="D108" s="67"/>
      <c r="E108" s="62"/>
      <c r="F108" s="62"/>
      <c r="G108" s="13"/>
      <c r="H108" s="96"/>
      <c r="I108" s="62"/>
      <c r="J108" s="62"/>
      <c r="K108" s="62"/>
      <c r="L108"/>
    </row>
    <row r="109" spans="1:15" x14ac:dyDescent="0.25">
      <c r="D109" s="455"/>
      <c r="E109" s="456" t="s">
        <v>363</v>
      </c>
      <c r="F109" s="457">
        <f>+F107/10</f>
        <v>80</v>
      </c>
      <c r="G109" s="13"/>
      <c r="H109" s="96"/>
      <c r="I109" s="62"/>
      <c r="J109" s="62"/>
      <c r="K109" s="62"/>
      <c r="L109"/>
    </row>
    <row r="114" spans="1:17" s="379" customFormat="1" x14ac:dyDescent="0.25">
      <c r="D114" s="380"/>
      <c r="E114" s="141"/>
      <c r="F114" s="141"/>
      <c r="G114" s="382"/>
      <c r="H114" s="383"/>
      <c r="I114" s="141"/>
      <c r="J114" s="141"/>
      <c r="K114" s="141"/>
    </row>
    <row r="115" spans="1:17" s="379" customFormat="1" x14ac:dyDescent="0.25">
      <c r="D115" s="380"/>
      <c r="E115" s="141"/>
      <c r="F115" s="141"/>
      <c r="G115" s="382"/>
      <c r="H115" s="383"/>
      <c r="I115" s="141"/>
      <c r="J115" s="141"/>
      <c r="K115" s="141"/>
    </row>
    <row r="116" spans="1:17" s="379" customFormat="1" x14ac:dyDescent="0.25">
      <c r="D116" s="380"/>
      <c r="E116" s="141"/>
      <c r="F116" s="141"/>
      <c r="G116" s="382"/>
      <c r="H116" s="383"/>
      <c r="I116" s="141"/>
      <c r="J116" s="141"/>
      <c r="K116" s="141"/>
    </row>
    <row r="117" spans="1:17" x14ac:dyDescent="0.25">
      <c r="D117" s="67"/>
      <c r="E117" s="62"/>
      <c r="F117" s="62"/>
      <c r="G117" s="13"/>
      <c r="H117" s="96"/>
      <c r="I117" s="62"/>
      <c r="J117" s="62"/>
      <c r="K117" s="62"/>
      <c r="L117"/>
    </row>
    <row r="118" spans="1:17" x14ac:dyDescent="0.25">
      <c r="D118" s="67"/>
      <c r="E118" s="62"/>
      <c r="F118" s="62"/>
      <c r="G118" s="13"/>
      <c r="H118" s="96"/>
      <c r="I118" s="62"/>
      <c r="J118" s="62"/>
      <c r="K118" s="62"/>
      <c r="L118"/>
    </row>
    <row r="119" spans="1:17" x14ac:dyDescent="0.25">
      <c r="A119" t="s">
        <v>387</v>
      </c>
      <c r="D119" s="67"/>
      <c r="E119" s="62"/>
      <c r="F119" s="62"/>
      <c r="G119" s="13"/>
      <c r="H119" s="96"/>
      <c r="I119" t="s">
        <v>387</v>
      </c>
      <c r="L119" s="67"/>
    </row>
    <row r="120" spans="1:17" x14ac:dyDescent="0.25">
      <c r="A120" t="s">
        <v>388</v>
      </c>
      <c r="D120" s="67"/>
      <c r="E120" s="62"/>
      <c r="F120" s="62"/>
      <c r="G120" s="13"/>
      <c r="H120" s="96"/>
      <c r="I120" s="64" t="s">
        <v>390</v>
      </c>
      <c r="L120" s="67"/>
    </row>
    <row r="121" spans="1:17" x14ac:dyDescent="0.25">
      <c r="D121" s="67"/>
      <c r="E121" s="62"/>
      <c r="F121" s="62"/>
      <c r="G121" s="13"/>
      <c r="H121" s="96"/>
      <c r="I121"/>
      <c r="L121" s="67"/>
    </row>
    <row r="122" spans="1:17" x14ac:dyDescent="0.25">
      <c r="A122" s="587"/>
      <c r="B122" s="587" t="s">
        <v>389</v>
      </c>
      <c r="C122" s="64" t="s">
        <v>113</v>
      </c>
      <c r="D122" s="593" t="s">
        <v>202</v>
      </c>
      <c r="E122" s="588"/>
      <c r="F122" s="588"/>
      <c r="G122" s="589"/>
      <c r="H122" s="590"/>
      <c r="I122" s="587"/>
      <c r="J122" s="587" t="s">
        <v>389</v>
      </c>
      <c r="K122" s="64" t="s">
        <v>113</v>
      </c>
      <c r="L122" s="593" t="s">
        <v>202</v>
      </c>
      <c r="M122" s="587"/>
      <c r="N122" s="587"/>
      <c r="O122" s="587"/>
      <c r="P122" s="587"/>
      <c r="Q122" s="587"/>
    </row>
    <row r="123" spans="1:17" x14ac:dyDescent="0.25">
      <c r="A123" s="599">
        <v>0</v>
      </c>
      <c r="B123" s="66">
        <f>K52</f>
        <v>350</v>
      </c>
      <c r="C123" s="65">
        <f>J52</f>
        <v>163.80000000000001</v>
      </c>
      <c r="D123" s="603">
        <f>+B123-C123</f>
        <v>186.2</v>
      </c>
      <c r="E123" s="588"/>
      <c r="F123" s="588"/>
      <c r="G123" s="589"/>
      <c r="H123" s="590"/>
      <c r="I123" s="599">
        <v>0</v>
      </c>
      <c r="J123" s="602">
        <f>K22</f>
        <v>350</v>
      </c>
      <c r="K123" s="600">
        <f>J22</f>
        <v>48.180666666666674</v>
      </c>
      <c r="L123" s="601">
        <f>+J123-K123</f>
        <v>301.8193333333333</v>
      </c>
      <c r="M123" s="587"/>
      <c r="N123" s="587"/>
      <c r="O123" s="587"/>
      <c r="P123" s="587"/>
      <c r="Q123" s="587"/>
    </row>
    <row r="124" spans="1:17" x14ac:dyDescent="0.25">
      <c r="A124" s="596">
        <v>0.1</v>
      </c>
      <c r="B124" s="66">
        <f>0.9*B123</f>
        <v>315</v>
      </c>
      <c r="C124" s="65">
        <f>C123</f>
        <v>163.80000000000001</v>
      </c>
      <c r="D124" s="603">
        <f t="shared" ref="D124:D127" si="8">+B124-C124</f>
        <v>151.19999999999999</v>
      </c>
      <c r="E124" s="225"/>
      <c r="F124" s="225"/>
      <c r="G124" s="591"/>
      <c r="H124" s="592"/>
      <c r="I124" s="596">
        <v>0.1</v>
      </c>
      <c r="J124" s="587">
        <f>0.9*J123</f>
        <v>315</v>
      </c>
      <c r="K124" s="600">
        <f>K123</f>
        <v>48.180666666666674</v>
      </c>
      <c r="L124" s="601">
        <f t="shared" ref="L124:L127" si="9">+J124-K124</f>
        <v>266.8193333333333</v>
      </c>
      <c r="M124" s="64"/>
      <c r="N124" s="64"/>
      <c r="O124" s="64"/>
      <c r="P124" s="64"/>
      <c r="Q124" s="64"/>
    </row>
    <row r="125" spans="1:17" x14ac:dyDescent="0.25">
      <c r="A125" s="597">
        <v>0.15</v>
      </c>
      <c r="B125" s="66">
        <f>+B123*0.85</f>
        <v>297.5</v>
      </c>
      <c r="C125" s="65">
        <f t="shared" ref="C125:C127" si="10">C124</f>
        <v>163.80000000000001</v>
      </c>
      <c r="D125" s="603">
        <f t="shared" si="8"/>
        <v>133.69999999999999</v>
      </c>
      <c r="E125" s="498"/>
      <c r="F125" s="498"/>
      <c r="G125" s="594"/>
      <c r="H125" s="595"/>
      <c r="I125" s="597">
        <v>0.15</v>
      </c>
      <c r="J125" s="587">
        <f>+J123*0.85</f>
        <v>297.5</v>
      </c>
      <c r="K125" s="600">
        <f t="shared" ref="K125:K127" si="11">K124</f>
        <v>48.180666666666674</v>
      </c>
      <c r="L125" s="601">
        <f t="shared" si="9"/>
        <v>249.31933333333333</v>
      </c>
      <c r="M125" s="507"/>
      <c r="N125" s="507"/>
      <c r="O125" s="507"/>
      <c r="P125" s="507"/>
      <c r="Q125" s="507"/>
    </row>
    <row r="126" spans="1:17" x14ac:dyDescent="0.25">
      <c r="A126" s="598">
        <v>0.2</v>
      </c>
      <c r="B126" s="66">
        <f>0.8*B123</f>
        <v>280</v>
      </c>
      <c r="C126" s="65">
        <f t="shared" si="10"/>
        <v>163.80000000000001</v>
      </c>
      <c r="D126" s="604">
        <f t="shared" si="8"/>
        <v>116.19999999999999</v>
      </c>
      <c r="E126" s="62"/>
      <c r="F126" s="62"/>
      <c r="G126" s="13"/>
      <c r="H126" s="96"/>
      <c r="I126" s="598">
        <v>0.2</v>
      </c>
      <c r="J126" s="587">
        <f>0.8*J123</f>
        <v>280</v>
      </c>
      <c r="K126" s="600">
        <f t="shared" si="11"/>
        <v>48.180666666666674</v>
      </c>
      <c r="L126" s="601">
        <f t="shared" si="9"/>
        <v>231.81933333333333</v>
      </c>
    </row>
    <row r="127" spans="1:17" x14ac:dyDescent="0.25">
      <c r="A127" s="598">
        <v>0.25</v>
      </c>
      <c r="B127" s="66">
        <f>0.75*B123</f>
        <v>262.5</v>
      </c>
      <c r="C127" s="65">
        <f t="shared" si="10"/>
        <v>163.80000000000001</v>
      </c>
      <c r="D127" s="604">
        <f t="shared" si="8"/>
        <v>98.699999999999989</v>
      </c>
      <c r="E127" s="62"/>
      <c r="F127" s="62"/>
      <c r="G127" s="13"/>
      <c r="H127" s="96"/>
      <c r="I127" s="598">
        <v>0.25</v>
      </c>
      <c r="J127" s="587">
        <f>0.755*J123</f>
        <v>264.25</v>
      </c>
      <c r="K127" s="600">
        <f t="shared" si="11"/>
        <v>48.180666666666674</v>
      </c>
      <c r="L127" s="601">
        <f t="shared" si="9"/>
        <v>216.06933333333333</v>
      </c>
    </row>
  </sheetData>
  <phoneticPr fontId="15" type="noConversion"/>
  <dataValidations count="1">
    <dataValidation type="list" allowBlank="1" showInputMessage="1" showErrorMessage="1" sqref="B18:B21 B48:B51 B38:B41 B28:B31 B58:B61 B68:B71 B78:B81 B88:B91" xr:uid="{6083E17E-7184-47B5-B459-5BE68012B5EA}">
      <formula1>$N$1:$N$3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E4A3D-A966-4D7E-BD0D-0789CCF3A609}">
  <sheetPr codeName="Sheet24"/>
  <dimension ref="A1:S97"/>
  <sheetViews>
    <sheetView topLeftCell="A45" workbookViewId="0">
      <selection activeCell="A58" sqref="A58"/>
    </sheetView>
  </sheetViews>
  <sheetFormatPr defaultColWidth="10.625" defaultRowHeight="15.75" x14ac:dyDescent="0.25"/>
  <cols>
    <col min="5" max="5" width="10.625" style="67"/>
    <col min="7" max="7" width="10.625" style="95"/>
    <col min="8" max="8" width="5.625" style="13" customWidth="1"/>
    <col min="9" max="9" width="10.625" style="96"/>
    <col min="12" max="12" width="10.625" style="62"/>
  </cols>
  <sheetData>
    <row r="1" spans="1:19" ht="30.75" customHeight="1" x14ac:dyDescent="0.55000000000000004">
      <c r="A1" s="234" t="s">
        <v>227</v>
      </c>
      <c r="B1" s="236"/>
      <c r="C1" s="236"/>
      <c r="D1" s="236"/>
      <c r="J1" s="158"/>
      <c r="K1" s="287"/>
      <c r="L1" s="117"/>
      <c r="M1" s="117"/>
      <c r="O1" s="389" t="s">
        <v>203</v>
      </c>
    </row>
    <row r="2" spans="1:19" s="98" customFormat="1" x14ac:dyDescent="0.25">
      <c r="A2" s="87"/>
      <c r="B2" s="200">
        <f>'Pep Costs'!B55</f>
        <v>195</v>
      </c>
      <c r="C2" s="87" t="s">
        <v>142</v>
      </c>
      <c r="D2" s="87"/>
      <c r="E2" s="644" t="s">
        <v>477</v>
      </c>
      <c r="F2" s="645"/>
      <c r="G2" s="117"/>
      <c r="H2" s="117"/>
      <c r="I2" s="117"/>
      <c r="J2" s="429"/>
      <c r="K2" s="430"/>
      <c r="L2" s="431"/>
      <c r="M2" s="117"/>
      <c r="N2" s="117"/>
      <c r="O2" s="490" t="s">
        <v>187</v>
      </c>
      <c r="P2" s="117"/>
      <c r="Q2" s="117"/>
      <c r="R2" s="117"/>
      <c r="S2" s="117"/>
    </row>
    <row r="3" spans="1:19" s="98" customFormat="1" x14ac:dyDescent="0.25">
      <c r="A3" s="87"/>
      <c r="B3" s="170">
        <v>3.3</v>
      </c>
      <c r="C3" s="170" t="s">
        <v>185</v>
      </c>
      <c r="D3" s="87"/>
      <c r="E3" s="117"/>
      <c r="F3" s="117"/>
      <c r="G3" s="117"/>
      <c r="H3" s="117"/>
      <c r="I3" s="117"/>
      <c r="J3" s="117"/>
      <c r="K3" s="117"/>
      <c r="L3" s="152"/>
      <c r="M3" s="117"/>
      <c r="N3" s="117"/>
      <c r="O3" s="490" t="s">
        <v>206</v>
      </c>
      <c r="P3" s="117"/>
      <c r="Q3" s="117"/>
      <c r="R3" s="117"/>
      <c r="S3" s="117"/>
    </row>
    <row r="4" spans="1:19" s="98" customFormat="1" ht="18" x14ac:dyDescent="0.4">
      <c r="A4" s="87"/>
      <c r="B4" s="142">
        <v>5</v>
      </c>
      <c r="C4" s="142" t="s">
        <v>228</v>
      </c>
      <c r="D4" s="87"/>
      <c r="E4" s="270"/>
      <c r="F4" s="511" t="s">
        <v>349</v>
      </c>
      <c r="G4" s="512" t="s">
        <v>144</v>
      </c>
      <c r="H4" s="117"/>
      <c r="I4" s="117"/>
      <c r="J4" s="158"/>
      <c r="K4" s="117"/>
      <c r="L4" s="152"/>
      <c r="M4" s="117"/>
      <c r="N4" s="117"/>
      <c r="O4" s="157"/>
      <c r="P4" s="117"/>
      <c r="Q4" s="117"/>
      <c r="R4" s="117"/>
      <c r="S4" s="117"/>
    </row>
    <row r="5" spans="1:19" s="98" customFormat="1" x14ac:dyDescent="0.25">
      <c r="A5" s="87"/>
      <c r="B5" s="87">
        <f>SUM(B2:B4)</f>
        <v>203.3</v>
      </c>
      <c r="C5" s="87"/>
      <c r="D5" s="87"/>
      <c r="E5" s="270"/>
      <c r="F5" s="117">
        <v>100</v>
      </c>
      <c r="G5" s="130">
        <f>+F5+B5</f>
        <v>303.3</v>
      </c>
      <c r="H5" s="117"/>
      <c r="I5" s="117"/>
      <c r="J5" s="158"/>
      <c r="K5" s="117"/>
      <c r="L5" s="152"/>
      <c r="M5" s="117"/>
      <c r="N5" s="117"/>
      <c r="O5" s="157"/>
      <c r="P5" s="117"/>
      <c r="Q5" s="117"/>
      <c r="R5" s="117"/>
      <c r="S5" s="117"/>
    </row>
    <row r="6" spans="1:19" s="98" customFormat="1" x14ac:dyDescent="0.25">
      <c r="A6" s="314"/>
      <c r="B6" s="87"/>
      <c r="C6" s="87"/>
      <c r="D6" s="87"/>
      <c r="E6" s="270"/>
      <c r="F6" s="270"/>
      <c r="G6" s="392"/>
      <c r="H6" s="117"/>
      <c r="I6" s="117"/>
      <c r="J6" s="158"/>
      <c r="K6" s="117"/>
      <c r="L6" s="152"/>
      <c r="M6" s="117"/>
      <c r="N6" s="117"/>
      <c r="P6" s="117"/>
      <c r="Q6" s="117"/>
      <c r="R6" s="117"/>
      <c r="S6" s="117"/>
    </row>
    <row r="7" spans="1:19" s="98" customFormat="1" x14ac:dyDescent="0.25">
      <c r="A7" s="225" t="s">
        <v>189</v>
      </c>
      <c r="B7" s="87">
        <f>+B5/300</f>
        <v>0.67766666666666675</v>
      </c>
      <c r="C7" s="87"/>
      <c r="D7" s="87"/>
      <c r="E7" s="117"/>
      <c r="F7" s="62" t="s">
        <v>189</v>
      </c>
      <c r="G7" s="392">
        <f>+G5/300</f>
        <v>1.0110000000000001</v>
      </c>
      <c r="H7" s="471"/>
      <c r="I7" s="117"/>
      <c r="J7" s="158"/>
      <c r="K7" s="117"/>
      <c r="L7" s="152"/>
      <c r="M7" s="153"/>
      <c r="N7" s="117"/>
      <c r="O7" s="117"/>
      <c r="P7" s="117"/>
      <c r="Q7" s="117"/>
      <c r="R7" s="117"/>
      <c r="S7" s="117"/>
    </row>
    <row r="8" spans="1:19" s="117" customFormat="1" x14ac:dyDescent="0.25">
      <c r="A8" s="62"/>
      <c r="B8" s="128"/>
      <c r="E8" s="62"/>
      <c r="F8" s="390"/>
      <c r="G8" s="471"/>
      <c r="I8" s="158"/>
      <c r="K8" s="152"/>
      <c r="L8" s="153"/>
    </row>
    <row r="9" spans="1:19" s="161" customFormat="1" x14ac:dyDescent="0.25">
      <c r="A9" s="159"/>
      <c r="B9" s="160"/>
      <c r="E9" s="162"/>
      <c r="F9" s="163"/>
      <c r="I9" s="164"/>
      <c r="K9" s="165"/>
      <c r="L9" s="166"/>
    </row>
    <row r="10" spans="1:19" s="201" customFormat="1" x14ac:dyDescent="0.25">
      <c r="A10" s="323"/>
      <c r="E10" s="202"/>
      <c r="F10" s="203"/>
      <c r="I10" s="204"/>
      <c r="K10" s="205"/>
      <c r="L10" s="206"/>
    </row>
    <row r="11" spans="1:19" s="201" customFormat="1" x14ac:dyDescent="0.25">
      <c r="A11" s="323"/>
      <c r="B11" s="207" t="s">
        <v>240</v>
      </c>
      <c r="C11" s="207"/>
      <c r="E11" s="202"/>
      <c r="F11" s="203"/>
      <c r="I11" s="204"/>
      <c r="K11" s="205"/>
      <c r="L11" s="206"/>
    </row>
    <row r="12" spans="1:19" s="201" customFormat="1" x14ac:dyDescent="0.25">
      <c r="A12" s="323"/>
      <c r="B12" s="207"/>
      <c r="C12" s="207"/>
      <c r="E12" s="202"/>
      <c r="F12" s="203"/>
      <c r="I12" s="204"/>
      <c r="K12" s="205"/>
      <c r="L12" s="206"/>
    </row>
    <row r="13" spans="1:19" s="160" customFormat="1" x14ac:dyDescent="0.25">
      <c r="A13" s="324"/>
      <c r="E13" s="325"/>
      <c r="F13" s="326"/>
      <c r="I13" s="327"/>
      <c r="K13" s="328"/>
      <c r="L13" s="166"/>
    </row>
    <row r="14" spans="1:19" s="160" customFormat="1" x14ac:dyDescent="0.25">
      <c r="A14" s="324"/>
      <c r="E14" s="325"/>
      <c r="F14" s="326"/>
      <c r="I14" s="327"/>
      <c r="K14" s="328"/>
      <c r="L14" s="166"/>
    </row>
    <row r="15" spans="1:19" s="160" customFormat="1" x14ac:dyDescent="0.25">
      <c r="A15" s="324"/>
      <c r="E15" s="325"/>
      <c r="F15" s="326"/>
      <c r="I15" s="327"/>
      <c r="K15" s="328"/>
      <c r="L15" s="166"/>
      <c r="N15" s="501"/>
      <c r="O15" s="501"/>
    </row>
    <row r="16" spans="1:19" s="98" customFormat="1" x14ac:dyDescent="0.25">
      <c r="A16" s="15"/>
      <c r="B16" s="87"/>
      <c r="C16" s="80"/>
      <c r="D16" s="115"/>
      <c r="E16" s="116"/>
      <c r="G16" s="117"/>
      <c r="H16" s="80"/>
      <c r="J16" s="152"/>
      <c r="K16" s="153"/>
      <c r="L16" s="117"/>
      <c r="M16" s="500"/>
      <c r="N16" s="500"/>
      <c r="O16" s="117"/>
      <c r="P16" s="117"/>
      <c r="Q16" s="117"/>
    </row>
    <row r="17" spans="1:16" s="125" customFormat="1" ht="31.5" x14ac:dyDescent="0.25">
      <c r="A17" s="653" t="s">
        <v>266</v>
      </c>
      <c r="B17" s="148" t="s">
        <v>199</v>
      </c>
      <c r="C17" s="149" t="s">
        <v>196</v>
      </c>
      <c r="D17" s="148" t="s">
        <v>197</v>
      </c>
      <c r="E17" s="122" t="s">
        <v>198</v>
      </c>
      <c r="F17" s="150" t="s">
        <v>188</v>
      </c>
      <c r="G17" s="124"/>
      <c r="H17" s="80"/>
      <c r="I17" s="98"/>
      <c r="J17" s="98"/>
      <c r="K17" s="209" t="s">
        <v>144</v>
      </c>
      <c r="L17" s="117"/>
      <c r="M17" s="644" t="s">
        <v>477</v>
      </c>
      <c r="N17" s="645"/>
      <c r="O17" s="124"/>
      <c r="P17" s="124"/>
    </row>
    <row r="18" spans="1:16" s="81" customFormat="1" x14ac:dyDescent="0.25">
      <c r="A18" s="193" t="s">
        <v>108</v>
      </c>
      <c r="B18" s="199" t="s">
        <v>206</v>
      </c>
      <c r="C18" s="192" t="s">
        <v>475</v>
      </c>
      <c r="D18" s="199">
        <v>90</v>
      </c>
      <c r="E18" s="145">
        <f>IF(B18="Daily",7, IF(B18="Weekly",1, IF(B18="Every Other Day",4,"")))</f>
        <v>1</v>
      </c>
      <c r="F18" s="146">
        <f>+D18*E18</f>
        <v>90</v>
      </c>
      <c r="G18" s="83"/>
      <c r="H18" s="118">
        <f>ROUNDUP(F22,0)</f>
        <v>340</v>
      </c>
      <c r="I18" s="119" t="s">
        <v>201</v>
      </c>
      <c r="J18" s="87">
        <f>+B7*F22</f>
        <v>230.40666666666669</v>
      </c>
      <c r="K18" s="210">
        <f>F22*G7</f>
        <v>343.74000000000007</v>
      </c>
      <c r="L18" s="117"/>
      <c r="M18" s="500"/>
      <c r="N18" s="500"/>
      <c r="O18" s="83"/>
      <c r="P18" s="83"/>
    </row>
    <row r="19" spans="1:16" s="81" customFormat="1" x14ac:dyDescent="0.25">
      <c r="A19" s="193" t="s">
        <v>109</v>
      </c>
      <c r="B19" s="199" t="s">
        <v>206</v>
      </c>
      <c r="C19" s="192"/>
      <c r="D19" s="199">
        <v>90</v>
      </c>
      <c r="E19" s="147">
        <f>IF(B19="Daily",7, IF(B19="Weekly",1, IF(B19="Every Other Day",4,"")))</f>
        <v>1</v>
      </c>
      <c r="F19" s="146">
        <f t="shared" ref="F19:F21" si="0">+D19*E19</f>
        <v>90</v>
      </c>
      <c r="G19" s="83"/>
      <c r="H19" s="80">
        <f>E22</f>
        <v>4</v>
      </c>
      <c r="I19" s="62" t="s">
        <v>221</v>
      </c>
      <c r="J19" s="87">
        <f>H19*0.24</f>
        <v>0.96</v>
      </c>
      <c r="K19" s="93"/>
      <c r="L19" s="83"/>
      <c r="M19" s="502"/>
      <c r="N19" s="502"/>
      <c r="O19" s="83"/>
      <c r="P19" s="83"/>
    </row>
    <row r="20" spans="1:16" s="81" customFormat="1" x14ac:dyDescent="0.25">
      <c r="A20" s="193" t="s">
        <v>110</v>
      </c>
      <c r="B20" s="316" t="s">
        <v>206</v>
      </c>
      <c r="C20" s="192" t="s">
        <v>469</v>
      </c>
      <c r="D20" s="199">
        <v>80</v>
      </c>
      <c r="E20" s="147">
        <f>IF(B20="Daily",7, IF(B20="Weekly",1, IF(B20="Every Other Day",4,"")))</f>
        <v>1</v>
      </c>
      <c r="F20" s="99">
        <f t="shared" si="0"/>
        <v>80</v>
      </c>
      <c r="G20" s="83"/>
      <c r="H20" s="80">
        <f>H19</f>
        <v>4</v>
      </c>
      <c r="I20" s="62" t="s">
        <v>200</v>
      </c>
      <c r="J20" s="87">
        <f>+H20*0.05</f>
        <v>0.2</v>
      </c>
      <c r="K20" s="93"/>
      <c r="L20" s="83"/>
      <c r="M20" s="503"/>
      <c r="N20" s="503"/>
      <c r="O20" s="83"/>
      <c r="P20" s="83"/>
    </row>
    <row r="21" spans="1:16" s="81" customFormat="1" x14ac:dyDescent="0.25">
      <c r="A21" s="195" t="s">
        <v>141</v>
      </c>
      <c r="B21" s="101" t="s">
        <v>206</v>
      </c>
      <c r="C21" s="102"/>
      <c r="D21" s="101">
        <v>80</v>
      </c>
      <c r="E21" s="144">
        <f>IF(B21="Daily",7, IF(B21="Weekly",1, IF(B21="Every Other Day",4,"")))</f>
        <v>1</v>
      </c>
      <c r="F21" s="103">
        <f t="shared" si="0"/>
        <v>80</v>
      </c>
      <c r="G21" s="83"/>
      <c r="H21" s="303">
        <v>1</v>
      </c>
      <c r="I21" s="71" t="s">
        <v>192</v>
      </c>
      <c r="J21" s="142">
        <f>H21*3.65</f>
        <v>3.65</v>
      </c>
      <c r="K21" s="143"/>
      <c r="L21" s="83"/>
      <c r="M21" s="503"/>
      <c r="N21" s="503"/>
      <c r="O21" s="83"/>
      <c r="P21" s="83"/>
    </row>
    <row r="22" spans="1:16" s="81" customFormat="1" x14ac:dyDescent="0.25">
      <c r="A22" s="88"/>
      <c r="B22" s="79"/>
      <c r="C22" s="80"/>
      <c r="D22" s="82"/>
      <c r="E22" s="196">
        <f>SUM(E18:E21)</f>
        <v>4</v>
      </c>
      <c r="F22" s="127">
        <f>SUM(F18:F21)</f>
        <v>340</v>
      </c>
      <c r="G22" s="83"/>
      <c r="H22" s="80"/>
      <c r="J22" s="128">
        <f>SUM(J18:J21)</f>
        <v>235.2166666666667</v>
      </c>
      <c r="K22" s="129">
        <v>350</v>
      </c>
      <c r="L22" s="83"/>
      <c r="M22" s="433" t="s">
        <v>202</v>
      </c>
      <c r="N22" s="428">
        <f>+K22-J22</f>
        <v>114.7833333333333</v>
      </c>
      <c r="O22" s="83"/>
      <c r="P22" s="83"/>
    </row>
    <row r="23" spans="1:16" s="81" customFormat="1" x14ac:dyDescent="0.25">
      <c r="A23" s="88"/>
      <c r="B23" s="79"/>
      <c r="C23" s="80"/>
      <c r="D23" s="82"/>
      <c r="E23" s="89"/>
      <c r="F23" s="110"/>
      <c r="G23" s="83"/>
      <c r="H23" s="80"/>
      <c r="I23" s="131" t="s">
        <v>189</v>
      </c>
      <c r="J23" s="113">
        <f>+J22/H18</f>
        <v>0.69181372549019615</v>
      </c>
      <c r="K23" s="112">
        <f>+K22/H18</f>
        <v>1.0294117647058822</v>
      </c>
      <c r="L23" s="83"/>
      <c r="M23" s="503"/>
      <c r="N23" s="503"/>
      <c r="O23" s="83"/>
      <c r="P23" s="83"/>
    </row>
    <row r="24" spans="1:16" s="81" customFormat="1" x14ac:dyDescent="0.25">
      <c r="A24" s="88"/>
      <c r="B24" s="79"/>
      <c r="C24" s="80"/>
      <c r="D24" s="82"/>
      <c r="E24" s="109"/>
      <c r="G24" s="83"/>
      <c r="M24" s="503"/>
      <c r="N24" s="503"/>
      <c r="O24" s="83"/>
      <c r="P24" s="83"/>
    </row>
    <row r="25" spans="1:16" s="107" customFormat="1" x14ac:dyDescent="0.25">
      <c r="A25" s="104"/>
      <c r="B25" s="105"/>
      <c r="C25" s="106"/>
      <c r="D25" s="108"/>
      <c r="E25" s="151"/>
      <c r="H25" s="106"/>
      <c r="M25" s="504"/>
      <c r="N25" s="504"/>
    </row>
    <row r="26" spans="1:16" s="98" customFormat="1" x14ac:dyDescent="0.25">
      <c r="A26" s="15"/>
      <c r="B26" s="121"/>
      <c r="C26" s="80"/>
      <c r="D26" s="115"/>
      <c r="E26" s="116"/>
      <c r="G26" s="117"/>
      <c r="P26" s="117"/>
    </row>
    <row r="27" spans="1:16" s="125" customFormat="1" ht="31.5" x14ac:dyDescent="0.25">
      <c r="A27" s="653" t="s">
        <v>268</v>
      </c>
      <c r="B27" s="148" t="s">
        <v>199</v>
      </c>
      <c r="C27" s="149" t="s">
        <v>196</v>
      </c>
      <c r="D27" s="148" t="s">
        <v>197</v>
      </c>
      <c r="E27" s="122" t="s">
        <v>198</v>
      </c>
      <c r="F27" s="150" t="s">
        <v>188</v>
      </c>
      <c r="G27" s="124"/>
      <c r="H27" s="80"/>
      <c r="I27" s="98"/>
      <c r="J27" s="98"/>
      <c r="K27" s="209" t="s">
        <v>144</v>
      </c>
      <c r="L27" s="117"/>
      <c r="M27" s="644" t="s">
        <v>477</v>
      </c>
      <c r="N27" s="645"/>
      <c r="O27" s="117"/>
      <c r="P27" s="124"/>
    </row>
    <row r="28" spans="1:16" s="81" customFormat="1" x14ac:dyDescent="0.25">
      <c r="A28" s="193" t="s">
        <v>207</v>
      </c>
      <c r="B28" s="199" t="s">
        <v>206</v>
      </c>
      <c r="C28" s="192" t="s">
        <v>474</v>
      </c>
      <c r="D28" s="199">
        <v>70</v>
      </c>
      <c r="E28" s="145">
        <f>IF(B28="Daily",7, IF(B28="Weekly",1, IF(B28="Every Other Day",4,"")))</f>
        <v>1</v>
      </c>
      <c r="F28" s="146">
        <f>+D28*E28</f>
        <v>70</v>
      </c>
      <c r="G28" s="83"/>
      <c r="H28" s="118">
        <f>ROUNDUP(F32,0)</f>
        <v>260</v>
      </c>
      <c r="I28" s="119" t="s">
        <v>201</v>
      </c>
      <c r="J28" s="87">
        <f>+B7*F32</f>
        <v>176.19333333333336</v>
      </c>
      <c r="K28" s="210">
        <f>+F32*G7</f>
        <v>262.86</v>
      </c>
      <c r="L28" s="117"/>
      <c r="M28" s="500"/>
      <c r="N28" s="500"/>
      <c r="O28" s="117"/>
      <c r="P28" s="83"/>
    </row>
    <row r="29" spans="1:16" s="81" customFormat="1" x14ac:dyDescent="0.25">
      <c r="A29" s="193" t="s">
        <v>208</v>
      </c>
      <c r="B29" s="199" t="s">
        <v>206</v>
      </c>
      <c r="C29" s="192"/>
      <c r="D29" s="199">
        <v>70</v>
      </c>
      <c r="E29" s="147">
        <f>IF(B29="Daily",7, IF(B29="Weekly",1, IF(B29="Every Other Day",4,"")))</f>
        <v>1</v>
      </c>
      <c r="F29" s="146">
        <f t="shared" ref="F29:F31" si="1">+D29*E29</f>
        <v>70</v>
      </c>
      <c r="G29" s="83"/>
      <c r="H29" s="80">
        <f>E32</f>
        <v>4</v>
      </c>
      <c r="I29" s="62" t="s">
        <v>221</v>
      </c>
      <c r="J29" s="87">
        <f>H29*0.24</f>
        <v>0.96</v>
      </c>
      <c r="K29" s="93"/>
      <c r="L29" s="124"/>
      <c r="M29" s="502"/>
      <c r="N29" s="502"/>
      <c r="O29" s="124"/>
      <c r="P29" s="83"/>
    </row>
    <row r="30" spans="1:16" s="81" customFormat="1" x14ac:dyDescent="0.25">
      <c r="A30" s="193" t="s">
        <v>209</v>
      </c>
      <c r="B30" s="316" t="s">
        <v>206</v>
      </c>
      <c r="C30" s="192" t="s">
        <v>473</v>
      </c>
      <c r="D30" s="199">
        <v>60</v>
      </c>
      <c r="E30" s="147">
        <f>IF(B30="Daily",7, IF(B30="Weekly",1, IF(B30="Every Other Day",4,"")))</f>
        <v>1</v>
      </c>
      <c r="F30" s="99">
        <f t="shared" si="1"/>
        <v>60</v>
      </c>
      <c r="G30" s="83"/>
      <c r="H30" s="80">
        <f>E32</f>
        <v>4</v>
      </c>
      <c r="I30" s="62" t="s">
        <v>200</v>
      </c>
      <c r="J30" s="87">
        <f>+H30*0.05</f>
        <v>0.2</v>
      </c>
      <c r="K30" s="93"/>
      <c r="L30" s="83"/>
      <c r="M30" s="503"/>
      <c r="N30" s="503"/>
      <c r="O30" s="83"/>
      <c r="P30" s="83"/>
    </row>
    <row r="31" spans="1:16" s="81" customFormat="1" x14ac:dyDescent="0.25">
      <c r="A31" s="195" t="s">
        <v>210</v>
      </c>
      <c r="B31" s="101" t="s">
        <v>206</v>
      </c>
      <c r="C31" s="102"/>
      <c r="D31" s="101">
        <v>60</v>
      </c>
      <c r="E31" s="144">
        <f>IF(B31="Daily",7, IF(B31="Weekly",1, IF(B31="Every Other Day",4,"")))</f>
        <v>1</v>
      </c>
      <c r="F31" s="103">
        <f t="shared" si="1"/>
        <v>60</v>
      </c>
      <c r="G31" s="83"/>
      <c r="H31" s="303">
        <v>0</v>
      </c>
      <c r="I31" s="71" t="s">
        <v>192</v>
      </c>
      <c r="J31" s="142">
        <f>H31*3.65</f>
        <v>0</v>
      </c>
      <c r="K31" s="143"/>
      <c r="L31" s="83"/>
      <c r="M31" s="503"/>
      <c r="N31" s="503"/>
      <c r="O31" s="83"/>
      <c r="P31" s="83"/>
    </row>
    <row r="32" spans="1:16" s="81" customFormat="1" x14ac:dyDescent="0.25">
      <c r="A32" s="88"/>
      <c r="B32" s="79"/>
      <c r="C32" s="80"/>
      <c r="D32" s="82"/>
      <c r="E32" s="196">
        <f>SUM(E28:E31)</f>
        <v>4</v>
      </c>
      <c r="F32" s="127">
        <f>SUM(F28:F31)</f>
        <v>260</v>
      </c>
      <c r="G32" s="83"/>
      <c r="H32" s="80"/>
      <c r="J32" s="128">
        <f>SUM(J28:J31)</f>
        <v>177.35333333333335</v>
      </c>
      <c r="K32" s="129">
        <v>350</v>
      </c>
      <c r="L32" s="83"/>
      <c r="M32" s="433" t="s">
        <v>202</v>
      </c>
      <c r="N32" s="428">
        <f>+K32-J32</f>
        <v>172.64666666666665</v>
      </c>
      <c r="O32" s="83"/>
      <c r="P32" s="83"/>
    </row>
    <row r="33" spans="1:16" s="81" customFormat="1" x14ac:dyDescent="0.25">
      <c r="A33" s="88"/>
      <c r="B33" s="79"/>
      <c r="C33" s="80"/>
      <c r="D33" s="82"/>
      <c r="E33" s="89"/>
      <c r="F33" s="110"/>
      <c r="G33" s="83"/>
      <c r="H33" s="80"/>
      <c r="I33" s="131" t="s">
        <v>189</v>
      </c>
      <c r="J33" s="113">
        <f>+J32/H28</f>
        <v>0.68212820512820516</v>
      </c>
      <c r="K33" s="112">
        <f>+K32/H28</f>
        <v>1.3461538461538463</v>
      </c>
      <c r="L33" s="83"/>
      <c r="M33" s="503"/>
      <c r="N33" s="503"/>
      <c r="O33" s="83"/>
      <c r="P33" s="83"/>
    </row>
    <row r="34" spans="1:16" s="81" customFormat="1" x14ac:dyDescent="0.25">
      <c r="A34" s="88"/>
      <c r="B34" s="79"/>
      <c r="C34" s="80"/>
      <c r="D34" s="82"/>
      <c r="E34" s="109"/>
      <c r="G34" s="83"/>
      <c r="H34" s="80"/>
      <c r="L34" s="83"/>
      <c r="M34" s="503"/>
      <c r="N34" s="503"/>
      <c r="O34" s="83"/>
      <c r="P34" s="83"/>
    </row>
    <row r="35" spans="1:16" s="107" customFormat="1" x14ac:dyDescent="0.25">
      <c r="A35" s="104"/>
      <c r="B35" s="105"/>
      <c r="C35" s="106"/>
      <c r="D35" s="108"/>
      <c r="E35" s="151"/>
      <c r="H35" s="106"/>
      <c r="M35" s="504"/>
      <c r="N35" s="504"/>
    </row>
    <row r="36" spans="1:16" s="98" customFormat="1" x14ac:dyDescent="0.25">
      <c r="A36" s="15"/>
      <c r="B36" s="121"/>
      <c r="C36" s="80"/>
      <c r="D36" s="115"/>
      <c r="E36" s="116"/>
      <c r="G36" s="117"/>
      <c r="O36" s="117"/>
      <c r="P36" s="117"/>
    </row>
    <row r="37" spans="1:16" s="125" customFormat="1" ht="31.5" x14ac:dyDescent="0.25">
      <c r="A37" s="653" t="s">
        <v>269</v>
      </c>
      <c r="B37" s="148" t="s">
        <v>199</v>
      </c>
      <c r="C37" s="149" t="s">
        <v>196</v>
      </c>
      <c r="D37" s="148" t="s">
        <v>197</v>
      </c>
      <c r="E37" s="122" t="s">
        <v>198</v>
      </c>
      <c r="F37" s="150" t="s">
        <v>188</v>
      </c>
      <c r="G37" s="124"/>
      <c r="H37" s="80"/>
      <c r="I37" s="98"/>
      <c r="J37" s="98"/>
      <c r="K37" s="209" t="s">
        <v>144</v>
      </c>
      <c r="L37" s="117"/>
      <c r="M37" s="644" t="s">
        <v>477</v>
      </c>
      <c r="N37" s="645"/>
      <c r="O37" s="124"/>
      <c r="P37" s="124"/>
    </row>
    <row r="38" spans="1:16" s="81" customFormat="1" x14ac:dyDescent="0.25">
      <c r="A38" s="193" t="s">
        <v>211</v>
      </c>
      <c r="B38" s="199" t="s">
        <v>206</v>
      </c>
      <c r="C38" s="192" t="s">
        <v>472</v>
      </c>
      <c r="D38" s="199">
        <v>50</v>
      </c>
      <c r="E38" s="145">
        <f>IF(B38="Daily",7, IF(B38="Weekly",1, IF(B38="Every Other Day",4,"")))</f>
        <v>1</v>
      </c>
      <c r="F38" s="146">
        <f>+D38*E38</f>
        <v>50</v>
      </c>
      <c r="G38" s="83"/>
      <c r="H38" s="118">
        <f>ROUNDUP(F42,0)</f>
        <v>180</v>
      </c>
      <c r="I38" s="119" t="s">
        <v>201</v>
      </c>
      <c r="J38" s="87">
        <f>+B7*F42</f>
        <v>121.98000000000002</v>
      </c>
      <c r="K38" s="210">
        <f>+F42*G7</f>
        <v>181.98000000000002</v>
      </c>
      <c r="L38" s="117"/>
      <c r="M38" s="500"/>
      <c r="N38" s="500"/>
      <c r="O38" s="83"/>
      <c r="P38" s="83"/>
    </row>
    <row r="39" spans="1:16" s="81" customFormat="1" x14ac:dyDescent="0.25">
      <c r="A39" s="193" t="s">
        <v>222</v>
      </c>
      <c r="B39" s="199" t="s">
        <v>206</v>
      </c>
      <c r="C39" s="192"/>
      <c r="D39" s="199">
        <v>50</v>
      </c>
      <c r="E39" s="147">
        <f>IF(B39="Daily",7, IF(B39="Weekly",1, IF(B39="Every Other Day",4,"")))</f>
        <v>1</v>
      </c>
      <c r="F39" s="146">
        <f t="shared" ref="F39:F41" si="2">+D39*E39</f>
        <v>50</v>
      </c>
      <c r="G39" s="83"/>
      <c r="H39" s="80">
        <f>E42</f>
        <v>4</v>
      </c>
      <c r="I39" s="62" t="s">
        <v>221</v>
      </c>
      <c r="J39" s="87">
        <f>+H39*0.24</f>
        <v>0.96</v>
      </c>
      <c r="K39" s="93"/>
      <c r="L39" s="124"/>
      <c r="M39" s="502"/>
      <c r="N39" s="502"/>
      <c r="O39" s="83"/>
      <c r="P39" s="83"/>
    </row>
    <row r="40" spans="1:16" s="81" customFormat="1" x14ac:dyDescent="0.25">
      <c r="A40" s="193" t="s">
        <v>213</v>
      </c>
      <c r="B40" s="316" t="s">
        <v>206</v>
      </c>
      <c r="C40" s="646" t="s">
        <v>471</v>
      </c>
      <c r="D40" s="316">
        <v>40</v>
      </c>
      <c r="E40" s="147">
        <f>IF(B40="Daily",7, IF(B40="Weekly",1, IF(B40="Every Other Day",4,"")))</f>
        <v>1</v>
      </c>
      <c r="F40" s="99">
        <f t="shared" si="2"/>
        <v>40</v>
      </c>
      <c r="G40" s="83"/>
      <c r="H40" s="80">
        <f>E42</f>
        <v>4</v>
      </c>
      <c r="I40" s="62" t="s">
        <v>200</v>
      </c>
      <c r="J40" s="87">
        <f>H40*0.05</f>
        <v>0.2</v>
      </c>
      <c r="K40" s="93"/>
      <c r="L40" s="83"/>
      <c r="M40" s="503"/>
      <c r="N40" s="503"/>
      <c r="O40" s="83"/>
      <c r="P40" s="83"/>
    </row>
    <row r="41" spans="1:16" s="81" customFormat="1" x14ac:dyDescent="0.25">
      <c r="A41" s="195" t="s">
        <v>214</v>
      </c>
      <c r="B41" s="101" t="s">
        <v>206</v>
      </c>
      <c r="C41" s="102"/>
      <c r="D41" s="101">
        <v>40</v>
      </c>
      <c r="E41" s="144">
        <f>IF(B41="Daily",7, IF(B41="Weekly",1, IF(B41="Every Other Day",4,"")))</f>
        <v>1</v>
      </c>
      <c r="F41" s="103">
        <f t="shared" si="2"/>
        <v>40</v>
      </c>
      <c r="G41" s="83"/>
      <c r="H41" s="303">
        <v>0</v>
      </c>
      <c r="I41" s="71" t="s">
        <v>192</v>
      </c>
      <c r="J41" s="142">
        <f>H41*3.65</f>
        <v>0</v>
      </c>
      <c r="K41" s="143"/>
      <c r="L41" s="83"/>
      <c r="M41" s="503"/>
      <c r="N41" s="503"/>
      <c r="O41" s="83"/>
      <c r="P41" s="83"/>
    </row>
    <row r="42" spans="1:16" s="81" customFormat="1" x14ac:dyDescent="0.25">
      <c r="A42" s="88"/>
      <c r="B42" s="79"/>
      <c r="C42" s="80"/>
      <c r="D42" s="82"/>
      <c r="E42" s="196">
        <f>SUM(E38:E41)</f>
        <v>4</v>
      </c>
      <c r="F42" s="127">
        <f>SUM(F38:F41)</f>
        <v>180</v>
      </c>
      <c r="G42" s="83"/>
      <c r="H42" s="80"/>
      <c r="J42" s="128">
        <f>SUM(J38:J41)</f>
        <v>123.14000000000001</v>
      </c>
      <c r="K42" s="129">
        <v>350</v>
      </c>
      <c r="L42" s="83"/>
      <c r="M42" s="433" t="s">
        <v>202</v>
      </c>
      <c r="N42" s="428">
        <f>+K42-J42</f>
        <v>226.85999999999999</v>
      </c>
      <c r="O42" s="83"/>
      <c r="P42" s="83"/>
    </row>
    <row r="43" spans="1:16" s="81" customFormat="1" x14ac:dyDescent="0.25">
      <c r="A43" s="88"/>
      <c r="B43" s="79"/>
      <c r="C43" s="80"/>
      <c r="D43" s="82"/>
      <c r="E43" s="89" t="s">
        <v>204</v>
      </c>
      <c r="F43" s="110">
        <f>+F42/300</f>
        <v>0.6</v>
      </c>
      <c r="G43" s="83"/>
      <c r="H43" s="80"/>
      <c r="I43" s="131" t="s">
        <v>189</v>
      </c>
      <c r="J43" s="113">
        <f>+J42/H38</f>
        <v>0.68411111111111123</v>
      </c>
      <c r="K43" s="112">
        <f>+K42/H38</f>
        <v>1.9444444444444444</v>
      </c>
      <c r="L43" s="83"/>
      <c r="M43" s="503"/>
      <c r="N43" s="503"/>
      <c r="O43" s="83"/>
      <c r="P43" s="83"/>
    </row>
    <row r="44" spans="1:16" s="81" customFormat="1" x14ac:dyDescent="0.25">
      <c r="A44" s="88"/>
      <c r="B44" s="79"/>
      <c r="C44" s="80"/>
      <c r="D44" s="82"/>
      <c r="E44" s="109"/>
      <c r="G44" s="83"/>
      <c r="L44" s="83"/>
      <c r="M44" s="503"/>
      <c r="N44" s="503"/>
      <c r="O44" s="83"/>
      <c r="P44" s="83"/>
    </row>
    <row r="45" spans="1:16" s="135" customFormat="1" x14ac:dyDescent="0.25">
      <c r="A45" s="132"/>
      <c r="B45" s="133"/>
      <c r="C45" s="134"/>
      <c r="D45" s="136"/>
      <c r="E45" s="137"/>
      <c r="H45" s="134"/>
      <c r="I45" s="138"/>
      <c r="J45" s="139"/>
      <c r="K45" s="140"/>
      <c r="M45" s="505"/>
      <c r="N45" s="505"/>
    </row>
    <row r="46" spans="1:16" s="98" customFormat="1" x14ac:dyDescent="0.25">
      <c r="A46" s="15"/>
      <c r="B46" s="121"/>
      <c r="C46" s="80"/>
      <c r="D46" s="115"/>
      <c r="E46" s="116"/>
      <c r="G46" s="117"/>
      <c r="P46" s="117"/>
    </row>
    <row r="47" spans="1:16" s="125" customFormat="1" ht="31.5" x14ac:dyDescent="0.25">
      <c r="A47" s="653" t="s">
        <v>215</v>
      </c>
      <c r="B47" s="148" t="s">
        <v>199</v>
      </c>
      <c r="C47" s="149" t="s">
        <v>196</v>
      </c>
      <c r="D47" s="148" t="s">
        <v>197</v>
      </c>
      <c r="E47" s="122" t="s">
        <v>198</v>
      </c>
      <c r="F47" s="150" t="s">
        <v>188</v>
      </c>
      <c r="G47" s="124"/>
      <c r="H47" s="80"/>
      <c r="I47" s="98"/>
      <c r="J47" s="98"/>
      <c r="K47" s="209" t="s">
        <v>144</v>
      </c>
      <c r="L47" s="117"/>
      <c r="M47" s="644" t="s">
        <v>477</v>
      </c>
      <c r="N47" s="645"/>
      <c r="O47" s="117"/>
      <c r="P47" s="124"/>
    </row>
    <row r="48" spans="1:16" s="81" customFormat="1" x14ac:dyDescent="0.25">
      <c r="A48" s="193" t="s">
        <v>223</v>
      </c>
      <c r="B48" s="199" t="s">
        <v>206</v>
      </c>
      <c r="C48" s="303" t="s">
        <v>478</v>
      </c>
      <c r="D48" s="199">
        <v>30</v>
      </c>
      <c r="E48" s="145">
        <f>IF(B48="Daily",7, IF(B48="Weekly",1, IF(B48="Every Other Day",4,"")))</f>
        <v>1</v>
      </c>
      <c r="F48" s="146">
        <f>+D48*E48</f>
        <v>30</v>
      </c>
      <c r="G48" s="83"/>
      <c r="H48" s="118">
        <f>ROUNDUP(F52,0)</f>
        <v>100</v>
      </c>
      <c r="I48" s="119" t="s">
        <v>201</v>
      </c>
      <c r="J48" s="87">
        <f>F52*B7</f>
        <v>67.76666666666668</v>
      </c>
      <c r="K48" s="210">
        <f>+F52*G7</f>
        <v>101.10000000000001</v>
      </c>
      <c r="L48" s="117"/>
      <c r="M48" s="500"/>
      <c r="N48" s="500"/>
      <c r="O48" s="117"/>
      <c r="P48" s="83"/>
    </row>
    <row r="49" spans="1:16" s="81" customFormat="1" x14ac:dyDescent="0.25">
      <c r="A49" s="193" t="s">
        <v>224</v>
      </c>
      <c r="B49" s="199" t="s">
        <v>206</v>
      </c>
      <c r="C49" s="192"/>
      <c r="D49" s="199">
        <v>30</v>
      </c>
      <c r="E49" s="147">
        <f>IF(B49="Daily",7, IF(B49="Weekly",1, IF(B49="Every Other Day",4,"")))</f>
        <v>1</v>
      </c>
      <c r="F49" s="146">
        <f t="shared" ref="F49:F51" si="3">+D49*E49</f>
        <v>30</v>
      </c>
      <c r="G49" s="83"/>
      <c r="H49" s="80">
        <f>E52</f>
        <v>4</v>
      </c>
      <c r="I49" s="62" t="s">
        <v>221</v>
      </c>
      <c r="J49" s="87">
        <f>+H49*0.24</f>
        <v>0.96</v>
      </c>
      <c r="K49" s="93"/>
      <c r="L49" s="124"/>
      <c r="M49" s="502"/>
      <c r="N49" s="502"/>
      <c r="O49" s="124"/>
      <c r="P49" s="83"/>
    </row>
    <row r="50" spans="1:16" s="81" customFormat="1" x14ac:dyDescent="0.25">
      <c r="A50" s="193" t="s">
        <v>225</v>
      </c>
      <c r="B50" s="316" t="s">
        <v>206</v>
      </c>
      <c r="C50" s="303" t="s">
        <v>479</v>
      </c>
      <c r="D50" s="199">
        <v>20</v>
      </c>
      <c r="E50" s="147">
        <f>IF(B50="Daily",7, IF(B50="Weekly",1, IF(B50="Every Other Day",4,"")))</f>
        <v>1</v>
      </c>
      <c r="F50" s="99">
        <f t="shared" si="3"/>
        <v>20</v>
      </c>
      <c r="G50" s="83"/>
      <c r="H50" s="80">
        <f>E52</f>
        <v>4</v>
      </c>
      <c r="I50" s="62" t="s">
        <v>200</v>
      </c>
      <c r="J50" s="87">
        <f>H50*0.05</f>
        <v>0.2</v>
      </c>
      <c r="K50" s="93"/>
      <c r="L50" s="83"/>
      <c r="M50" s="503"/>
      <c r="N50" s="503"/>
      <c r="O50" s="83"/>
      <c r="P50" s="83"/>
    </row>
    <row r="51" spans="1:16" s="81" customFormat="1" x14ac:dyDescent="0.25">
      <c r="A51" s="195" t="s">
        <v>226</v>
      </c>
      <c r="B51" s="101" t="s">
        <v>206</v>
      </c>
      <c r="C51" s="102"/>
      <c r="D51" s="101">
        <v>20</v>
      </c>
      <c r="E51" s="144">
        <f>IF(B51="Daily",7, IF(B51="Weekly",1, IF(B51="Every Other Day",4,"")))</f>
        <v>1</v>
      </c>
      <c r="F51" s="103">
        <f t="shared" si="3"/>
        <v>20</v>
      </c>
      <c r="G51" s="83"/>
      <c r="H51" s="303">
        <v>0</v>
      </c>
      <c r="I51" s="71" t="s">
        <v>192</v>
      </c>
      <c r="J51" s="142">
        <f>H51*3.65</f>
        <v>0</v>
      </c>
      <c r="K51" s="143"/>
      <c r="L51" s="83"/>
      <c r="M51" s="503"/>
      <c r="N51" s="503"/>
      <c r="O51" s="83"/>
      <c r="P51" s="83"/>
    </row>
    <row r="52" spans="1:16" s="81" customFormat="1" x14ac:dyDescent="0.25">
      <c r="A52" s="88"/>
      <c r="B52" s="79"/>
      <c r="C52" s="80"/>
      <c r="D52" s="82"/>
      <c r="E52" s="196">
        <f>SUM(E48:E51)</f>
        <v>4</v>
      </c>
      <c r="F52" s="127">
        <f>SUM(F48:F51)</f>
        <v>100</v>
      </c>
      <c r="G52" s="83"/>
      <c r="H52" s="80"/>
      <c r="J52" s="128">
        <f>SUM(J48:J51)</f>
        <v>68.926666666666677</v>
      </c>
      <c r="K52" s="129">
        <v>350</v>
      </c>
      <c r="L52" s="83"/>
      <c r="M52" s="433" t="s">
        <v>202</v>
      </c>
      <c r="N52" s="428">
        <f>+K52-J52</f>
        <v>281.07333333333332</v>
      </c>
      <c r="O52" s="83"/>
      <c r="P52" s="83"/>
    </row>
    <row r="53" spans="1:16" s="81" customFormat="1" x14ac:dyDescent="0.25">
      <c r="A53" s="88"/>
      <c r="B53" s="79"/>
      <c r="C53" s="80"/>
      <c r="D53" s="82"/>
      <c r="E53" s="89" t="s">
        <v>204</v>
      </c>
      <c r="F53" s="110">
        <f>+F52/300</f>
        <v>0.33333333333333331</v>
      </c>
      <c r="G53" s="83"/>
      <c r="H53" s="80"/>
      <c r="I53" s="131" t="s">
        <v>189</v>
      </c>
      <c r="J53" s="113">
        <f>+J52/H48</f>
        <v>0.68926666666666681</v>
      </c>
      <c r="K53" s="112">
        <f>+K52/H48</f>
        <v>3.5</v>
      </c>
      <c r="L53" s="83"/>
      <c r="M53" s="503"/>
      <c r="N53" s="503"/>
      <c r="O53" s="83"/>
      <c r="P53" s="83"/>
    </row>
    <row r="54" spans="1:16" x14ac:dyDescent="0.25">
      <c r="D54" s="67"/>
      <c r="E54"/>
      <c r="F54" s="95"/>
      <c r="G54" s="13"/>
      <c r="H54" s="96"/>
      <c r="I54"/>
      <c r="K54" s="62"/>
      <c r="L54"/>
      <c r="M54" s="507"/>
      <c r="N54" s="507"/>
    </row>
    <row r="55" spans="1:16" s="135" customFormat="1" x14ac:dyDescent="0.25">
      <c r="A55" s="132"/>
      <c r="B55" s="133"/>
      <c r="C55" s="134"/>
      <c r="D55" s="136"/>
      <c r="E55" s="137"/>
      <c r="H55" s="134"/>
      <c r="I55" s="138"/>
      <c r="J55" s="139"/>
      <c r="K55" s="140"/>
      <c r="M55" s="505"/>
      <c r="N55" s="505"/>
    </row>
    <row r="56" spans="1:16" s="98" customFormat="1" x14ac:dyDescent="0.25">
      <c r="A56" s="15"/>
      <c r="B56" s="121"/>
      <c r="C56" s="80"/>
      <c r="D56" s="115"/>
      <c r="E56" s="116"/>
      <c r="G56" s="117"/>
      <c r="P56" s="117"/>
    </row>
    <row r="57" spans="1:16" s="125" customFormat="1" ht="31.5" x14ac:dyDescent="0.25">
      <c r="A57" s="653" t="s">
        <v>455</v>
      </c>
      <c r="B57" s="148" t="s">
        <v>199</v>
      </c>
      <c r="C57" s="149" t="s">
        <v>196</v>
      </c>
      <c r="D57" s="148" t="s">
        <v>197</v>
      </c>
      <c r="E57" s="122" t="s">
        <v>198</v>
      </c>
      <c r="F57" s="150" t="s">
        <v>188</v>
      </c>
      <c r="G57" s="124"/>
      <c r="H57" s="80"/>
      <c r="I57" s="98"/>
      <c r="J57" s="98"/>
      <c r="K57" s="209" t="s">
        <v>144</v>
      </c>
      <c r="L57" s="117"/>
      <c r="M57" s="644" t="s">
        <v>477</v>
      </c>
      <c r="N57" s="645"/>
      <c r="O57" s="117"/>
      <c r="P57" s="124"/>
    </row>
    <row r="58" spans="1:16" s="81" customFormat="1" x14ac:dyDescent="0.25">
      <c r="A58" s="193" t="s">
        <v>376</v>
      </c>
      <c r="B58" s="199" t="s">
        <v>206</v>
      </c>
      <c r="C58" s="303" t="s">
        <v>480</v>
      </c>
      <c r="D58" s="199">
        <v>10</v>
      </c>
      <c r="E58" s="145">
        <f>IF(B58="Daily",7, IF(B58="Weekly",1, IF(B58="Every Other Day",4,"")))</f>
        <v>1</v>
      </c>
      <c r="F58" s="146">
        <f>+D58*E58</f>
        <v>10</v>
      </c>
      <c r="G58" s="83"/>
      <c r="H58" s="118">
        <f>ROUNDUP(F62,0)</f>
        <v>30</v>
      </c>
      <c r="I58" s="119" t="s">
        <v>201</v>
      </c>
      <c r="J58" s="87">
        <f>F62*B7</f>
        <v>20.330000000000002</v>
      </c>
      <c r="K58" s="210">
        <f>+F62*G7</f>
        <v>30.330000000000005</v>
      </c>
      <c r="L58" s="117"/>
      <c r="M58" s="500"/>
      <c r="N58" s="500"/>
      <c r="O58" s="117"/>
      <c r="P58" s="83"/>
    </row>
    <row r="59" spans="1:16" s="81" customFormat="1" x14ac:dyDescent="0.25">
      <c r="A59" s="193" t="s">
        <v>377</v>
      </c>
      <c r="B59" s="199" t="s">
        <v>206</v>
      </c>
      <c r="C59" s="192"/>
      <c r="D59" s="199">
        <v>10</v>
      </c>
      <c r="E59" s="147">
        <f>IF(B59="Daily",7, IF(B59="Weekly",1, IF(B59="Every Other Day",4,"")))</f>
        <v>1</v>
      </c>
      <c r="F59" s="146">
        <f t="shared" ref="F59:F61" si="4">+D59*E59</f>
        <v>10</v>
      </c>
      <c r="G59" s="83"/>
      <c r="H59" s="80">
        <f>E62</f>
        <v>4</v>
      </c>
      <c r="I59" s="62" t="s">
        <v>221</v>
      </c>
      <c r="J59" s="87">
        <f>+H59*0.24</f>
        <v>0.96</v>
      </c>
      <c r="K59" s="93"/>
      <c r="L59" s="124"/>
      <c r="M59" s="502"/>
      <c r="N59" s="502"/>
      <c r="O59" s="124"/>
      <c r="P59" s="83"/>
    </row>
    <row r="60" spans="1:16" s="81" customFormat="1" x14ac:dyDescent="0.25">
      <c r="A60" s="193" t="s">
        <v>378</v>
      </c>
      <c r="B60" s="316" t="s">
        <v>206</v>
      </c>
      <c r="C60" s="303" t="s">
        <v>481</v>
      </c>
      <c r="D60" s="199">
        <v>5</v>
      </c>
      <c r="E60" s="147">
        <f>IF(B60="Daily",7, IF(B60="Weekly",1, IF(B60="Every Other Day",4,"")))</f>
        <v>1</v>
      </c>
      <c r="F60" s="99">
        <f t="shared" si="4"/>
        <v>5</v>
      </c>
      <c r="G60" s="83"/>
      <c r="H60" s="80">
        <f>E62</f>
        <v>4</v>
      </c>
      <c r="I60" s="62" t="s">
        <v>200</v>
      </c>
      <c r="J60" s="87">
        <f>H60*0.05</f>
        <v>0.2</v>
      </c>
      <c r="K60" s="93"/>
      <c r="L60" s="83"/>
      <c r="M60" s="503"/>
      <c r="N60" s="503"/>
      <c r="O60" s="83"/>
      <c r="P60" s="83"/>
    </row>
    <row r="61" spans="1:16" s="81" customFormat="1" x14ac:dyDescent="0.25">
      <c r="A61" s="193" t="s">
        <v>379</v>
      </c>
      <c r="B61" s="101" t="s">
        <v>206</v>
      </c>
      <c r="C61" s="102"/>
      <c r="D61" s="101">
        <v>5</v>
      </c>
      <c r="E61" s="144">
        <f>IF(B61="Daily",7, IF(B61="Weekly",1, IF(B61="Every Other Day",4,"")))</f>
        <v>1</v>
      </c>
      <c r="F61" s="103">
        <f t="shared" si="4"/>
        <v>5</v>
      </c>
      <c r="G61" s="83"/>
      <c r="H61" s="303">
        <v>0</v>
      </c>
      <c r="I61" s="71" t="s">
        <v>192</v>
      </c>
      <c r="J61" s="142">
        <f>H61*3.65</f>
        <v>0</v>
      </c>
      <c r="K61" s="143"/>
      <c r="L61" s="83"/>
      <c r="M61" s="503"/>
      <c r="N61" s="503"/>
      <c r="O61" s="83"/>
      <c r="P61" s="83"/>
    </row>
    <row r="62" spans="1:16" s="81" customFormat="1" x14ac:dyDescent="0.25">
      <c r="A62" s="88"/>
      <c r="B62" s="79"/>
      <c r="C62" s="80"/>
      <c r="D62" s="82"/>
      <c r="E62" s="196">
        <f>SUM(E58:E61)</f>
        <v>4</v>
      </c>
      <c r="F62" s="127">
        <f>SUM(F58:F61)</f>
        <v>30</v>
      </c>
      <c r="G62" s="83"/>
      <c r="H62" s="80"/>
      <c r="J62" s="128">
        <f>SUM(J58:J61)</f>
        <v>21.490000000000002</v>
      </c>
      <c r="K62" s="129">
        <v>350</v>
      </c>
      <c r="L62" s="83"/>
      <c r="M62" s="433" t="s">
        <v>202</v>
      </c>
      <c r="N62" s="428">
        <f>+K62-J62</f>
        <v>328.51</v>
      </c>
      <c r="O62" s="83"/>
      <c r="P62" s="83"/>
    </row>
    <row r="63" spans="1:16" s="81" customFormat="1" x14ac:dyDescent="0.25">
      <c r="A63" s="88"/>
      <c r="B63" s="79"/>
      <c r="C63" s="80"/>
      <c r="D63" s="82"/>
      <c r="E63" s="89" t="s">
        <v>204</v>
      </c>
      <c r="F63" s="110">
        <f>+F62/300</f>
        <v>0.1</v>
      </c>
      <c r="G63" s="83"/>
      <c r="H63" s="80"/>
      <c r="I63" s="131" t="s">
        <v>189</v>
      </c>
      <c r="J63" s="113">
        <f>+J62/H58</f>
        <v>0.71633333333333338</v>
      </c>
      <c r="K63" s="112">
        <f>+K62/H58</f>
        <v>11.666666666666666</v>
      </c>
      <c r="L63" s="83"/>
      <c r="M63" s="503"/>
      <c r="N63" s="503"/>
      <c r="O63" s="83"/>
      <c r="P63" s="83"/>
    </row>
    <row r="64" spans="1:16" x14ac:dyDescent="0.25">
      <c r="D64" s="67"/>
      <c r="E64"/>
      <c r="F64" s="95"/>
      <c r="G64" s="13"/>
      <c r="H64" s="96"/>
      <c r="I64"/>
      <c r="K64" s="62"/>
      <c r="L64"/>
      <c r="M64" s="507"/>
      <c r="N64" s="507"/>
    </row>
    <row r="65" spans="1:15" s="379" customFormat="1" x14ac:dyDescent="0.25">
      <c r="E65" s="380"/>
      <c r="G65" s="381"/>
      <c r="H65" s="382"/>
      <c r="I65" s="383"/>
      <c r="L65" s="141"/>
      <c r="N65" s="531"/>
      <c r="O65" s="506"/>
    </row>
    <row r="66" spans="1:15" s="379" customFormat="1" x14ac:dyDescent="0.25">
      <c r="D66" s="380"/>
      <c r="F66" s="141"/>
      <c r="G66" s="382"/>
      <c r="H66" s="383"/>
      <c r="K66" s="141"/>
      <c r="N66" s="506"/>
      <c r="O66" s="506"/>
    </row>
    <row r="67" spans="1:15" s="379" customFormat="1" x14ac:dyDescent="0.25">
      <c r="D67" s="380"/>
      <c r="F67" s="141"/>
      <c r="G67" s="382"/>
      <c r="H67" s="383"/>
      <c r="K67" s="141"/>
      <c r="N67" s="506"/>
      <c r="O67" s="506"/>
    </row>
    <row r="68" spans="1:15" s="379" customFormat="1" x14ac:dyDescent="0.25">
      <c r="D68" s="380"/>
      <c r="F68" s="141"/>
      <c r="G68" s="382"/>
      <c r="H68" s="383"/>
      <c r="K68" s="141"/>
      <c r="N68" s="506"/>
      <c r="O68" s="506"/>
    </row>
    <row r="69" spans="1:15" x14ac:dyDescent="0.25">
      <c r="D69" s="67"/>
      <c r="E69"/>
      <c r="F69" s="62"/>
      <c r="G69" s="13"/>
      <c r="H69" s="96"/>
      <c r="I69"/>
      <c r="K69" s="62"/>
      <c r="L69"/>
      <c r="M69" s="62"/>
      <c r="N69" s="507"/>
      <c r="O69" s="507"/>
    </row>
    <row r="70" spans="1:15" x14ac:dyDescent="0.25">
      <c r="A70" t="s">
        <v>351</v>
      </c>
      <c r="D70" s="67"/>
      <c r="E70" s="62"/>
      <c r="F70" s="62"/>
      <c r="G70" s="13"/>
      <c r="H70" s="96"/>
      <c r="I70" s="62"/>
      <c r="J70" s="62"/>
      <c r="K70" s="62"/>
      <c r="L70"/>
      <c r="N70" s="507"/>
      <c r="O70" s="507"/>
    </row>
    <row r="71" spans="1:15" ht="17.25" customHeight="1" x14ac:dyDescent="0.25">
      <c r="D71" s="532" t="s">
        <v>375</v>
      </c>
      <c r="E71" s="62"/>
      <c r="F71" s="62"/>
      <c r="G71" s="13"/>
      <c r="H71" s="96"/>
      <c r="I71" s="62"/>
      <c r="J71" s="62"/>
      <c r="K71" s="62"/>
      <c r="L71"/>
      <c r="N71" s="507"/>
      <c r="O71" s="507"/>
    </row>
    <row r="72" spans="1:15" s="61" customFormat="1" x14ac:dyDescent="0.25">
      <c r="A72" s="61" t="s">
        <v>368</v>
      </c>
      <c r="D72" s="61" t="s">
        <v>369</v>
      </c>
      <c r="E72" s="453"/>
      <c r="F72" s="453"/>
      <c r="G72" s="458"/>
      <c r="H72" s="459"/>
      <c r="I72" s="453"/>
      <c r="J72" s="453"/>
      <c r="K72" s="453"/>
      <c r="N72" s="563"/>
      <c r="O72" s="563"/>
    </row>
    <row r="73" spans="1:15" x14ac:dyDescent="0.25">
      <c r="B73" s="61"/>
      <c r="D73" s="67"/>
      <c r="E73" s="62" t="s">
        <v>366</v>
      </c>
      <c r="F73" s="461">
        <f>F52</f>
        <v>100</v>
      </c>
      <c r="G73" s="13"/>
      <c r="H73" s="96"/>
      <c r="I73" s="62"/>
      <c r="J73" s="62"/>
      <c r="K73" s="62"/>
      <c r="L73"/>
      <c r="N73" s="507"/>
      <c r="O73" s="507"/>
    </row>
    <row r="74" spans="1:15" x14ac:dyDescent="0.25">
      <c r="A74" s="368" t="s">
        <v>364</v>
      </c>
      <c r="B74" s="460">
        <f>N52</f>
        <v>281.07333333333332</v>
      </c>
      <c r="D74" s="67"/>
      <c r="E74" s="71" t="s">
        <v>360</v>
      </c>
      <c r="F74" s="71">
        <v>10</v>
      </c>
      <c r="G74" s="13"/>
      <c r="H74" s="96"/>
      <c r="I74" s="62"/>
      <c r="J74" s="62"/>
      <c r="K74" s="62"/>
      <c r="L74"/>
    </row>
    <row r="75" spans="1:15" x14ac:dyDescent="0.25">
      <c r="D75" s="67"/>
      <c r="E75" s="62"/>
      <c r="F75" s="62">
        <f>+F74*F73</f>
        <v>1000</v>
      </c>
      <c r="G75" s="13" t="s">
        <v>367</v>
      </c>
      <c r="H75" s="96"/>
      <c r="I75" s="62"/>
      <c r="J75" s="62"/>
      <c r="K75" s="62"/>
      <c r="L75"/>
    </row>
    <row r="76" spans="1:15" x14ac:dyDescent="0.25">
      <c r="D76" s="67"/>
      <c r="E76" s="453" t="s">
        <v>361</v>
      </c>
      <c r="F76" s="453">
        <f>ROUNDUP((F75/300),0)</f>
        <v>4</v>
      </c>
      <c r="G76" s="13"/>
      <c r="H76" s="96"/>
      <c r="I76" s="62"/>
      <c r="J76" s="62"/>
      <c r="K76" s="62"/>
      <c r="L76"/>
    </row>
    <row r="77" spans="1:15" x14ac:dyDescent="0.25">
      <c r="D77" s="67"/>
      <c r="E77" s="62" t="s">
        <v>362</v>
      </c>
      <c r="F77" s="454">
        <f>+F76*F5</f>
        <v>400</v>
      </c>
      <c r="G77" s="13"/>
      <c r="H77" s="96"/>
      <c r="I77" s="62"/>
      <c r="J77" s="62"/>
      <c r="K77" s="62"/>
      <c r="L77"/>
    </row>
    <row r="78" spans="1:15" x14ac:dyDescent="0.25">
      <c r="D78" s="67"/>
      <c r="E78" s="62"/>
      <c r="F78" s="62"/>
      <c r="G78" s="13"/>
      <c r="H78" s="96"/>
      <c r="I78" s="62"/>
      <c r="J78" s="62"/>
      <c r="K78" s="62"/>
      <c r="L78"/>
    </row>
    <row r="79" spans="1:15" x14ac:dyDescent="0.25">
      <c r="D79" s="455"/>
      <c r="E79" s="456" t="s">
        <v>363</v>
      </c>
      <c r="F79" s="457">
        <f>+F77/10</f>
        <v>40</v>
      </c>
      <c r="G79" s="13"/>
      <c r="H79" s="96"/>
      <c r="I79" s="62"/>
      <c r="J79" s="62"/>
      <c r="K79" s="62"/>
      <c r="L79"/>
    </row>
    <row r="84" spans="1:17" s="379" customFormat="1" x14ac:dyDescent="0.25">
      <c r="D84" s="380"/>
      <c r="E84" s="141"/>
      <c r="F84" s="141"/>
      <c r="G84" s="382"/>
      <c r="H84" s="383"/>
      <c r="I84" s="141"/>
      <c r="J84" s="141"/>
      <c r="K84" s="141"/>
    </row>
    <row r="85" spans="1:17" s="379" customFormat="1" x14ac:dyDescent="0.25">
      <c r="D85" s="380"/>
      <c r="E85" s="141"/>
      <c r="F85" s="141"/>
      <c r="G85" s="382"/>
      <c r="H85" s="383"/>
      <c r="I85" s="141"/>
      <c r="J85" s="141"/>
      <c r="K85" s="141"/>
    </row>
    <row r="86" spans="1:17" s="379" customFormat="1" x14ac:dyDescent="0.25">
      <c r="D86" s="380"/>
      <c r="E86" s="141"/>
      <c r="F86" s="141"/>
      <c r="G86" s="382"/>
      <c r="H86" s="383"/>
      <c r="I86" s="141"/>
      <c r="J86" s="141"/>
      <c r="K86" s="141"/>
    </row>
    <row r="87" spans="1:17" x14ac:dyDescent="0.25">
      <c r="D87" s="67"/>
      <c r="E87" s="62"/>
      <c r="F87" s="62"/>
      <c r="G87" s="13"/>
      <c r="H87" s="96"/>
      <c r="I87" s="62"/>
      <c r="J87" s="62"/>
      <c r="K87" s="62"/>
      <c r="L87"/>
    </row>
    <row r="88" spans="1:17" x14ac:dyDescent="0.25">
      <c r="D88" s="67"/>
      <c r="E88" s="62"/>
      <c r="F88" s="62"/>
      <c r="G88" s="13"/>
      <c r="H88" s="96"/>
      <c r="I88" s="62"/>
      <c r="J88" s="62"/>
      <c r="K88" s="62"/>
      <c r="L88"/>
    </row>
    <row r="89" spans="1:17" x14ac:dyDescent="0.25">
      <c r="A89" t="s">
        <v>387</v>
      </c>
      <c r="D89" s="67"/>
      <c r="E89" s="62"/>
      <c r="F89" s="62"/>
      <c r="G89" s="13"/>
      <c r="H89" s="96"/>
      <c r="I89" t="s">
        <v>387</v>
      </c>
      <c r="L89" s="67"/>
    </row>
    <row r="90" spans="1:17" x14ac:dyDescent="0.25">
      <c r="A90" t="s">
        <v>388</v>
      </c>
      <c r="D90" s="67"/>
      <c r="E90" s="62"/>
      <c r="F90" s="62"/>
      <c r="G90" s="13"/>
      <c r="H90" s="96"/>
      <c r="I90" s="64" t="s">
        <v>390</v>
      </c>
      <c r="L90" s="67"/>
    </row>
    <row r="91" spans="1:17" x14ac:dyDescent="0.25">
      <c r="D91" s="67"/>
      <c r="E91" s="62"/>
      <c r="F91" s="62"/>
      <c r="G91" s="13"/>
      <c r="H91" s="96"/>
      <c r="I91"/>
      <c r="L91" s="67"/>
    </row>
    <row r="92" spans="1:17" x14ac:dyDescent="0.25">
      <c r="A92" s="587"/>
      <c r="B92" s="587" t="s">
        <v>389</v>
      </c>
      <c r="C92" s="64" t="s">
        <v>113</v>
      </c>
      <c r="D92" s="593" t="s">
        <v>202</v>
      </c>
      <c r="E92" s="588"/>
      <c r="F92" s="588"/>
      <c r="G92" s="589"/>
      <c r="H92" s="590"/>
      <c r="I92" s="587"/>
      <c r="J92" s="587" t="s">
        <v>389</v>
      </c>
      <c r="K92" s="64" t="s">
        <v>113</v>
      </c>
      <c r="L92" s="593" t="s">
        <v>202</v>
      </c>
      <c r="M92" s="587"/>
      <c r="N92" s="587"/>
      <c r="O92" s="587"/>
      <c r="P92" s="587"/>
      <c r="Q92" s="587"/>
    </row>
    <row r="93" spans="1:17" x14ac:dyDescent="0.25">
      <c r="A93" s="599">
        <v>0</v>
      </c>
      <c r="B93" s="66">
        <f>K52</f>
        <v>350</v>
      </c>
      <c r="C93" s="65">
        <f>J52</f>
        <v>68.926666666666677</v>
      </c>
      <c r="D93" s="603">
        <f>+B93-C93</f>
        <v>281.07333333333332</v>
      </c>
      <c r="E93" s="588"/>
      <c r="F93" s="588"/>
      <c r="G93" s="589"/>
      <c r="H93" s="590"/>
      <c r="I93" s="599">
        <v>0</v>
      </c>
      <c r="J93" s="602">
        <f>K22</f>
        <v>350</v>
      </c>
      <c r="K93" s="600">
        <f>J22</f>
        <v>235.2166666666667</v>
      </c>
      <c r="L93" s="601">
        <f>+J93-K93</f>
        <v>114.7833333333333</v>
      </c>
      <c r="M93" s="587"/>
      <c r="N93" s="587"/>
      <c r="O93" s="587"/>
      <c r="P93" s="587"/>
      <c r="Q93" s="587"/>
    </row>
    <row r="94" spans="1:17" x14ac:dyDescent="0.25">
      <c r="A94" s="596">
        <v>0.1</v>
      </c>
      <c r="B94" s="66">
        <f>0.9*B93</f>
        <v>315</v>
      </c>
      <c r="C94" s="65">
        <f>C93</f>
        <v>68.926666666666677</v>
      </c>
      <c r="D94" s="603">
        <f t="shared" ref="D94:D97" si="5">+B94-C94</f>
        <v>246.07333333333332</v>
      </c>
      <c r="E94" s="225"/>
      <c r="F94" s="225"/>
      <c r="G94" s="591"/>
      <c r="H94" s="592"/>
      <c r="I94" s="596">
        <v>0.1</v>
      </c>
      <c r="J94" s="587">
        <f>0.9*J93</f>
        <v>315</v>
      </c>
      <c r="K94" s="600">
        <f>K93</f>
        <v>235.2166666666667</v>
      </c>
      <c r="L94" s="601">
        <f t="shared" ref="L94:L97" si="6">+J94-K94</f>
        <v>79.783333333333303</v>
      </c>
      <c r="M94" s="64"/>
      <c r="N94" s="64"/>
      <c r="O94" s="64"/>
      <c r="P94" s="64"/>
      <c r="Q94" s="64"/>
    </row>
    <row r="95" spans="1:17" x14ac:dyDescent="0.25">
      <c r="A95" s="597">
        <v>0.15</v>
      </c>
      <c r="B95" s="66">
        <f>+B93*0.85</f>
        <v>297.5</v>
      </c>
      <c r="C95" s="65">
        <f t="shared" ref="C95:C97" si="7">C94</f>
        <v>68.926666666666677</v>
      </c>
      <c r="D95" s="603">
        <f t="shared" si="5"/>
        <v>228.57333333333332</v>
      </c>
      <c r="E95" s="498"/>
      <c r="F95" s="498"/>
      <c r="G95" s="594"/>
      <c r="H95" s="595"/>
      <c r="I95" s="597">
        <v>0.15</v>
      </c>
      <c r="J95" s="587">
        <f>+J93*0.85</f>
        <v>297.5</v>
      </c>
      <c r="K95" s="600">
        <f t="shared" ref="K95:K97" si="8">K94</f>
        <v>235.2166666666667</v>
      </c>
      <c r="L95" s="601">
        <f t="shared" si="6"/>
        <v>62.283333333333303</v>
      </c>
      <c r="M95" s="507"/>
      <c r="N95" s="507"/>
      <c r="O95" s="507"/>
      <c r="P95" s="507"/>
      <c r="Q95" s="507"/>
    </row>
    <row r="96" spans="1:17" x14ac:dyDescent="0.25">
      <c r="A96" s="598">
        <v>0.2</v>
      </c>
      <c r="B96" s="66">
        <f>0.8*B93</f>
        <v>280</v>
      </c>
      <c r="C96" s="65">
        <f t="shared" si="7"/>
        <v>68.926666666666677</v>
      </c>
      <c r="D96" s="604">
        <f t="shared" si="5"/>
        <v>211.07333333333332</v>
      </c>
      <c r="E96" s="62"/>
      <c r="F96" s="62"/>
      <c r="G96" s="13"/>
      <c r="H96" s="96"/>
      <c r="I96" s="598">
        <v>0.2</v>
      </c>
      <c r="J96" s="587">
        <f>0.8*J93</f>
        <v>280</v>
      </c>
      <c r="K96" s="600">
        <f t="shared" si="8"/>
        <v>235.2166666666667</v>
      </c>
      <c r="L96" s="601">
        <f t="shared" si="6"/>
        <v>44.783333333333303</v>
      </c>
    </row>
    <row r="97" spans="1:12" x14ac:dyDescent="0.25">
      <c r="A97" s="598">
        <v>0.25</v>
      </c>
      <c r="B97" s="66">
        <f>0.75*B93</f>
        <v>262.5</v>
      </c>
      <c r="C97" s="65">
        <f t="shared" si="7"/>
        <v>68.926666666666677</v>
      </c>
      <c r="D97" s="604">
        <f t="shared" si="5"/>
        <v>193.57333333333332</v>
      </c>
      <c r="E97" s="62"/>
      <c r="F97" s="62"/>
      <c r="G97" s="13"/>
      <c r="H97" s="96"/>
      <c r="I97" s="598">
        <v>0.25</v>
      </c>
      <c r="J97" s="587">
        <f>0.755*J93</f>
        <v>264.25</v>
      </c>
      <c r="K97" s="600">
        <f t="shared" si="8"/>
        <v>235.2166666666667</v>
      </c>
      <c r="L97" s="601">
        <f t="shared" si="6"/>
        <v>29.033333333333303</v>
      </c>
    </row>
  </sheetData>
  <dataValidations count="1">
    <dataValidation type="list" allowBlank="1" showInputMessage="1" showErrorMessage="1" sqref="B18:B21 B48:B51 B38:B41 B28:B31 B58:B61" xr:uid="{B716BDD4-9882-4018-B589-24D8C3EC7AB4}">
      <formula1>$N$1:$N$3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D91C5-A03A-428C-9E78-EA686144AD60}">
  <sheetPr codeName="Sheet28"/>
  <dimension ref="A1:D4"/>
  <sheetViews>
    <sheetView workbookViewId="0">
      <selection activeCell="J21" sqref="J21"/>
    </sheetView>
  </sheetViews>
  <sheetFormatPr defaultRowHeight="15.75" x14ac:dyDescent="0.25"/>
  <sheetData>
    <row r="1" spans="1:4" ht="26.25" x14ac:dyDescent="0.55000000000000004">
      <c r="A1" s="234" t="s">
        <v>384</v>
      </c>
      <c r="B1" s="236"/>
      <c r="C1" s="236"/>
      <c r="D1" s="236"/>
    </row>
    <row r="4" spans="1:4" x14ac:dyDescent="0.25">
      <c r="B4" t="s">
        <v>385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555C0-32B8-4F42-B205-596CFC8FBC72}">
  <sheetPr codeName="Sheet29">
    <pageSetUpPr fitToPage="1"/>
  </sheetPr>
  <dimension ref="A1:S96"/>
  <sheetViews>
    <sheetView topLeftCell="A43" workbookViewId="0">
      <selection activeCell="A63" sqref="A63"/>
    </sheetView>
  </sheetViews>
  <sheetFormatPr defaultColWidth="10.625" defaultRowHeight="15.75" x14ac:dyDescent="0.25"/>
  <cols>
    <col min="5" max="5" width="10.625" style="67"/>
    <col min="6" max="6" width="23.375" customWidth="1"/>
    <col min="7" max="7" width="10.625" style="95"/>
    <col min="8" max="8" width="5.625" style="13" customWidth="1"/>
    <col min="9" max="9" width="10.625" style="96"/>
    <col min="12" max="12" width="10.625" style="62"/>
  </cols>
  <sheetData>
    <row r="1" spans="1:19" ht="30.75" customHeight="1" x14ac:dyDescent="0.55000000000000004">
      <c r="A1" s="234" t="s">
        <v>386</v>
      </c>
      <c r="B1" s="236"/>
      <c r="C1" s="236"/>
      <c r="D1" s="236"/>
      <c r="E1" s="567"/>
      <c r="F1" s="568"/>
      <c r="G1" s="569"/>
      <c r="H1" s="570"/>
      <c r="I1" s="571"/>
      <c r="J1" s="287"/>
      <c r="K1" s="287"/>
      <c r="L1" s="117"/>
      <c r="O1" s="389" t="s">
        <v>203</v>
      </c>
    </row>
    <row r="2" spans="1:19" s="98" customFormat="1" x14ac:dyDescent="0.25">
      <c r="B2" s="87">
        <v>100</v>
      </c>
      <c r="C2" s="98" t="s">
        <v>142</v>
      </c>
      <c r="E2" s="464"/>
      <c r="F2" s="464"/>
      <c r="G2" s="464"/>
      <c r="H2" s="464"/>
      <c r="I2" s="464"/>
      <c r="J2" s="429"/>
      <c r="K2" s="430"/>
      <c r="L2" s="431"/>
      <c r="M2" s="117"/>
      <c r="O2" s="490" t="s">
        <v>187</v>
      </c>
      <c r="P2" s="117"/>
      <c r="Q2" s="117"/>
      <c r="R2" s="117"/>
      <c r="S2" s="117"/>
    </row>
    <row r="3" spans="1:19" s="98" customFormat="1" x14ac:dyDescent="0.25">
      <c r="B3" s="170">
        <v>3.3</v>
      </c>
      <c r="C3" s="198" t="s">
        <v>185</v>
      </c>
      <c r="E3" s="464"/>
      <c r="F3" s="464"/>
      <c r="G3" s="464"/>
      <c r="H3" s="464"/>
      <c r="I3" s="464"/>
      <c r="J3" s="117"/>
      <c r="K3" s="117"/>
      <c r="L3" s="152"/>
      <c r="M3" s="117"/>
      <c r="O3" s="490" t="s">
        <v>206</v>
      </c>
      <c r="P3" s="117"/>
      <c r="Q3" s="117"/>
      <c r="R3" s="117"/>
      <c r="S3" s="117"/>
    </row>
    <row r="4" spans="1:19" s="98" customFormat="1" ht="28.5" x14ac:dyDescent="0.55000000000000004">
      <c r="B4" s="142">
        <v>15</v>
      </c>
      <c r="C4" s="156" t="s">
        <v>229</v>
      </c>
      <c r="E4" s="465"/>
      <c r="F4" s="573" t="s">
        <v>349</v>
      </c>
      <c r="G4" s="470" t="s">
        <v>144</v>
      </c>
      <c r="H4" s="464"/>
      <c r="I4" s="464"/>
      <c r="J4" s="158"/>
      <c r="K4" s="117"/>
      <c r="L4" s="152"/>
      <c r="M4" s="117"/>
      <c r="O4" s="157"/>
      <c r="P4" s="117"/>
      <c r="Q4" s="117"/>
      <c r="R4" s="117"/>
      <c r="S4" s="117"/>
    </row>
    <row r="5" spans="1:19" s="98" customFormat="1" ht="26.25" x14ac:dyDescent="0.4">
      <c r="A5" s="15"/>
      <c r="B5" s="87">
        <f>SUM(B2:B4)</f>
        <v>118.3</v>
      </c>
      <c r="E5" s="465"/>
      <c r="F5" s="574">
        <v>45</v>
      </c>
      <c r="G5" s="469">
        <f>+F5+B5</f>
        <v>163.30000000000001</v>
      </c>
      <c r="H5" s="464"/>
      <c r="I5" s="464"/>
      <c r="J5" s="158"/>
      <c r="K5" s="117"/>
      <c r="L5" s="152"/>
      <c r="M5" s="117"/>
      <c r="P5" s="117"/>
      <c r="Q5" s="117"/>
      <c r="R5" s="117"/>
      <c r="S5" s="117"/>
    </row>
    <row r="6" spans="1:19" x14ac:dyDescent="0.25">
      <c r="E6" s="567"/>
      <c r="F6" s="567"/>
      <c r="G6" s="572"/>
      <c r="H6" s="569"/>
      <c r="I6" s="570"/>
      <c r="J6" s="96"/>
      <c r="L6"/>
      <c r="M6" s="62"/>
    </row>
    <row r="7" spans="1:19" s="98" customFormat="1" x14ac:dyDescent="0.25">
      <c r="A7" s="62" t="s">
        <v>189</v>
      </c>
      <c r="B7" s="87">
        <f>+B5/300</f>
        <v>0.39433333333333331</v>
      </c>
      <c r="E7" s="464"/>
      <c r="F7" s="467" t="s">
        <v>189</v>
      </c>
      <c r="G7" s="468">
        <f>+G5/300</f>
        <v>0.54433333333333334</v>
      </c>
      <c r="H7" s="496"/>
      <c r="I7" s="464"/>
      <c r="J7" s="158"/>
      <c r="K7" s="117"/>
      <c r="L7" s="152"/>
      <c r="M7" s="153"/>
      <c r="N7" s="117"/>
      <c r="O7" s="117"/>
      <c r="P7" s="117"/>
      <c r="Q7" s="117"/>
      <c r="R7" s="117"/>
      <c r="S7" s="117"/>
    </row>
    <row r="8" spans="1:19" s="117" customFormat="1" x14ac:dyDescent="0.25">
      <c r="A8" s="62"/>
      <c r="B8" s="128"/>
      <c r="E8" s="467"/>
      <c r="F8" s="466"/>
      <c r="G8" s="496"/>
      <c r="H8" s="464"/>
      <c r="I8" s="571"/>
      <c r="K8" s="152"/>
      <c r="L8" s="153"/>
    </row>
    <row r="9" spans="1:19" s="161" customFormat="1" x14ac:dyDescent="0.25">
      <c r="A9" s="141"/>
      <c r="B9" s="160"/>
      <c r="D9" s="307"/>
      <c r="E9" s="238"/>
      <c r="F9" s="239"/>
      <c r="H9" s="164"/>
      <c r="J9" s="165"/>
      <c r="K9" s="166"/>
    </row>
    <row r="10" spans="1:19" s="161" customFormat="1" x14ac:dyDescent="0.25">
      <c r="A10" s="141"/>
      <c r="B10" s="160"/>
      <c r="D10" s="307"/>
      <c r="E10" s="238"/>
      <c r="F10" s="239"/>
      <c r="H10" s="164"/>
      <c r="J10" s="165"/>
      <c r="K10" s="166"/>
    </row>
    <row r="11" spans="1:19" s="241" customFormat="1" x14ac:dyDescent="0.25">
      <c r="A11" s="186"/>
      <c r="B11" s="240"/>
      <c r="D11" s="308"/>
      <c r="E11" s="242"/>
      <c r="F11" s="243"/>
      <c r="H11" s="173"/>
      <c r="J11" s="244"/>
      <c r="K11" s="245"/>
    </row>
    <row r="12" spans="1:19" s="98" customFormat="1" x14ac:dyDescent="0.25">
      <c r="A12" s="15"/>
      <c r="B12" s="87"/>
      <c r="C12" s="80"/>
      <c r="D12" s="115"/>
      <c r="E12" s="116"/>
      <c r="G12" s="117"/>
      <c r="H12" s="80"/>
      <c r="J12" s="152"/>
      <c r="K12" s="153"/>
      <c r="L12" s="117"/>
      <c r="M12" s="117"/>
      <c r="N12" s="117"/>
      <c r="O12" s="117"/>
      <c r="P12" s="117"/>
      <c r="Q12" s="117"/>
    </row>
    <row r="13" spans="1:19" s="98" customFormat="1" x14ac:dyDescent="0.25">
      <c r="A13" s="168" t="s">
        <v>218</v>
      </c>
      <c r="B13" s="87"/>
      <c r="C13" s="80"/>
      <c r="D13" s="115"/>
      <c r="E13" s="116"/>
      <c r="G13" s="117"/>
      <c r="H13" s="80"/>
      <c r="K13" s="280" t="s">
        <v>144</v>
      </c>
      <c r="L13" s="117"/>
      <c r="M13" s="117"/>
      <c r="N13" s="117"/>
      <c r="O13" s="117"/>
      <c r="P13" s="117"/>
      <c r="Q13" s="117"/>
    </row>
    <row r="14" spans="1:19" s="98" customFormat="1" x14ac:dyDescent="0.25">
      <c r="A14" s="15"/>
      <c r="B14" s="121"/>
      <c r="C14" s="80"/>
      <c r="D14" s="115"/>
      <c r="E14" s="116"/>
      <c r="G14" s="117"/>
      <c r="H14" s="118">
        <f>ROUNDUP(F20,0)</f>
        <v>330</v>
      </c>
      <c r="I14" s="119" t="s">
        <v>201</v>
      </c>
      <c r="J14" s="87">
        <f>+B7*F20</f>
        <v>130.13</v>
      </c>
      <c r="K14" s="264">
        <f>+F20*G7</f>
        <v>179.63</v>
      </c>
      <c r="L14" s="117"/>
      <c r="M14" s="117"/>
      <c r="N14" s="117"/>
      <c r="O14" s="117"/>
      <c r="P14" s="117"/>
      <c r="Q14" s="117"/>
    </row>
    <row r="15" spans="1:19" s="125" customFormat="1" ht="31.5" x14ac:dyDescent="0.25">
      <c r="A15" s="182"/>
      <c r="B15" s="183" t="s">
        <v>199</v>
      </c>
      <c r="C15" s="184" t="s">
        <v>196</v>
      </c>
      <c r="D15" s="183" t="s">
        <v>197</v>
      </c>
      <c r="E15" s="169" t="s">
        <v>198</v>
      </c>
      <c r="F15" s="185" t="s">
        <v>188</v>
      </c>
      <c r="G15" s="124"/>
      <c r="H15" s="72"/>
      <c r="I15" s="322" t="s">
        <v>177</v>
      </c>
      <c r="J15" s="310">
        <f>+H15*45</f>
        <v>0</v>
      </c>
      <c r="K15" s="311">
        <f>+H15*85</f>
        <v>0</v>
      </c>
      <c r="L15" s="124"/>
      <c r="M15" s="124"/>
      <c r="N15" s="124"/>
      <c r="O15" s="124"/>
      <c r="P15" s="124"/>
      <c r="Q15" s="124"/>
    </row>
    <row r="16" spans="1:19" s="81" customFormat="1" x14ac:dyDescent="0.25">
      <c r="A16" s="306" t="s">
        <v>207</v>
      </c>
      <c r="B16" s="251" t="s">
        <v>203</v>
      </c>
      <c r="C16" s="252" t="s">
        <v>354</v>
      </c>
      <c r="D16" s="251">
        <v>15</v>
      </c>
      <c r="E16" s="254">
        <f>IF(B16="Daily",7, IF(B16="Weekly",1, IF(B16="Every Other Day",4,"")))</f>
        <v>7</v>
      </c>
      <c r="F16" s="255">
        <f>+D16*E16</f>
        <v>105</v>
      </c>
      <c r="G16" s="83"/>
      <c r="H16" s="80">
        <f>IF(E20&gt;=25, E20+2, E20+1)</f>
        <v>23</v>
      </c>
      <c r="I16" s="62" t="s">
        <v>217</v>
      </c>
      <c r="J16" s="87">
        <f>0.25*H16</f>
        <v>5.75</v>
      </c>
      <c r="K16" s="263"/>
      <c r="L16" s="83"/>
      <c r="M16" s="83"/>
      <c r="N16" s="83"/>
      <c r="O16" s="83"/>
      <c r="P16" s="83"/>
      <c r="Q16" s="83"/>
    </row>
    <row r="17" spans="1:17" s="81" customFormat="1" x14ac:dyDescent="0.25">
      <c r="A17" s="306" t="s">
        <v>207</v>
      </c>
      <c r="B17" s="251" t="s">
        <v>203</v>
      </c>
      <c r="C17" s="252"/>
      <c r="D17" s="251">
        <v>15</v>
      </c>
      <c r="E17" s="254">
        <v>4</v>
      </c>
      <c r="F17" s="255">
        <f>+D17*E17</f>
        <v>60</v>
      </c>
      <c r="G17" s="83"/>
      <c r="H17" s="80">
        <f>ROUNDUP(F21,0)</f>
        <v>2</v>
      </c>
      <c r="I17" s="62" t="s">
        <v>190</v>
      </c>
      <c r="J17" s="87">
        <f>+H17*0.8</f>
        <v>1.6</v>
      </c>
      <c r="K17" s="263"/>
      <c r="L17" s="83"/>
      <c r="M17" s="83"/>
      <c r="N17" s="83"/>
      <c r="O17" s="83"/>
      <c r="P17" s="83"/>
      <c r="Q17" s="83"/>
    </row>
    <row r="18" spans="1:17" s="81" customFormat="1" x14ac:dyDescent="0.25">
      <c r="A18" s="306" t="s">
        <v>207</v>
      </c>
      <c r="B18" s="251" t="s">
        <v>203</v>
      </c>
      <c r="C18" s="252"/>
      <c r="D18" s="251">
        <v>15</v>
      </c>
      <c r="E18" s="254">
        <f>IF(B18="Daily",7, IF(B18="Weekly",1, IF(B18="Every Other Day",4,"")))</f>
        <v>7</v>
      </c>
      <c r="F18" s="255">
        <f>+D18*E18</f>
        <v>105</v>
      </c>
      <c r="G18" s="83"/>
      <c r="H18" s="80">
        <f>H16</f>
        <v>23</v>
      </c>
      <c r="I18" s="62" t="s">
        <v>200</v>
      </c>
      <c r="J18" s="87">
        <f>(5/100)*H18</f>
        <v>1.1500000000000001</v>
      </c>
      <c r="K18" s="263"/>
      <c r="L18" s="83"/>
      <c r="M18" s="503"/>
      <c r="N18" s="503"/>
      <c r="O18" s="83"/>
      <c r="P18" s="83"/>
      <c r="Q18" s="83"/>
    </row>
    <row r="19" spans="1:17" s="81" customFormat="1" x14ac:dyDescent="0.25">
      <c r="A19" s="306" t="s">
        <v>207</v>
      </c>
      <c r="B19" s="251" t="s">
        <v>203</v>
      </c>
      <c r="C19" s="252"/>
      <c r="D19" s="251">
        <v>15</v>
      </c>
      <c r="E19" s="254">
        <v>4</v>
      </c>
      <c r="F19" s="255">
        <f>+D19*E19</f>
        <v>60</v>
      </c>
      <c r="G19" s="83"/>
      <c r="H19" s="77">
        <v>0</v>
      </c>
      <c r="I19" s="71" t="s">
        <v>192</v>
      </c>
      <c r="J19" s="142">
        <f>H19*3.65</f>
        <v>0</v>
      </c>
      <c r="K19" s="267"/>
      <c r="L19" s="83"/>
      <c r="M19" s="503"/>
      <c r="N19" s="503"/>
      <c r="O19" s="83"/>
      <c r="P19" s="83"/>
      <c r="Q19" s="83"/>
    </row>
    <row r="20" spans="1:17" s="81" customFormat="1" x14ac:dyDescent="0.25">
      <c r="A20" s="88"/>
      <c r="B20" s="79"/>
      <c r="C20" s="80"/>
      <c r="D20" s="82"/>
      <c r="E20" s="167">
        <f>SUM(E16:E19)</f>
        <v>22</v>
      </c>
      <c r="F20" s="279">
        <f>SUM(F16:F19)</f>
        <v>330</v>
      </c>
      <c r="G20" s="83"/>
      <c r="H20" s="80"/>
      <c r="J20" s="128">
        <f>SUM(J14:J19)</f>
        <v>138.63</v>
      </c>
      <c r="K20" s="269">
        <f>ROUNDUP(SUM(K14:K19),0)</f>
        <v>180</v>
      </c>
      <c r="L20" s="83"/>
      <c r="M20" s="433" t="s">
        <v>202</v>
      </c>
      <c r="N20" s="428">
        <f>+K20-J20</f>
        <v>41.370000000000005</v>
      </c>
      <c r="O20" s="83"/>
      <c r="P20" s="83"/>
      <c r="Q20" s="83"/>
    </row>
    <row r="21" spans="1:17" s="81" customFormat="1" x14ac:dyDescent="0.25">
      <c r="A21" s="88"/>
      <c r="B21" s="79"/>
      <c r="C21" s="80"/>
      <c r="D21" s="82"/>
      <c r="E21" s="89" t="s">
        <v>204</v>
      </c>
      <c r="F21" s="110">
        <f>+F20/300</f>
        <v>1.1000000000000001</v>
      </c>
      <c r="G21" s="83"/>
      <c r="H21" s="80"/>
      <c r="I21" s="131" t="s">
        <v>189</v>
      </c>
      <c r="J21" s="113">
        <f>+J20/H14</f>
        <v>0.42009090909090907</v>
      </c>
      <c r="K21" s="112">
        <f>+K20/H14</f>
        <v>0.54545454545454541</v>
      </c>
      <c r="L21" s="83"/>
      <c r="M21" s="503"/>
      <c r="N21" s="503"/>
      <c r="O21" s="83"/>
      <c r="P21" s="83"/>
      <c r="Q21" s="83"/>
    </row>
    <row r="22" spans="1:17" s="81" customFormat="1" x14ac:dyDescent="0.25">
      <c r="A22" s="88"/>
      <c r="B22" s="79"/>
      <c r="C22" s="80"/>
      <c r="D22" s="82"/>
      <c r="E22" s="109"/>
      <c r="G22" s="83"/>
      <c r="H22" s="80"/>
      <c r="I22" s="131"/>
      <c r="J22" s="131"/>
      <c r="K22" s="131"/>
      <c r="L22" s="83"/>
      <c r="M22" s="503"/>
      <c r="N22" s="503"/>
      <c r="O22" s="83"/>
      <c r="P22" s="83"/>
      <c r="Q22" s="83"/>
    </row>
    <row r="23" spans="1:17" s="241" customFormat="1" x14ac:dyDescent="0.25">
      <c r="A23" s="186"/>
      <c r="B23" s="240"/>
      <c r="D23" s="308"/>
      <c r="E23" s="242"/>
      <c r="F23" s="243"/>
      <c r="H23" s="173"/>
      <c r="J23" s="244"/>
      <c r="K23" s="245"/>
      <c r="M23" s="534"/>
      <c r="N23" s="534"/>
    </row>
    <row r="24" spans="1:17" s="161" customFormat="1" x14ac:dyDescent="0.25">
      <c r="A24" s="159"/>
      <c r="B24" s="160"/>
      <c r="D24" s="162"/>
      <c r="E24" s="163"/>
      <c r="H24" s="164"/>
      <c r="J24" s="165"/>
      <c r="K24" s="166"/>
      <c r="M24" s="501"/>
      <c r="N24" s="501"/>
    </row>
    <row r="25" spans="1:17" s="161" customFormat="1" x14ac:dyDescent="0.25">
      <c r="A25" s="159"/>
      <c r="B25" s="160"/>
      <c r="C25" s="164"/>
      <c r="D25" s="162"/>
      <c r="E25" s="163"/>
      <c r="H25" s="164"/>
      <c r="J25" s="165"/>
      <c r="K25" s="166"/>
      <c r="M25" s="501"/>
      <c r="N25" s="501"/>
    </row>
    <row r="26" spans="1:17" s="98" customFormat="1" x14ac:dyDescent="0.25">
      <c r="A26" s="15"/>
      <c r="B26" s="87"/>
      <c r="C26" s="80"/>
      <c r="D26" s="115"/>
      <c r="E26" s="116"/>
      <c r="G26" s="117"/>
      <c r="H26" s="80"/>
      <c r="K26" s="114" t="s">
        <v>144</v>
      </c>
      <c r="L26" s="117"/>
      <c r="M26" s="500"/>
      <c r="N26" s="500"/>
      <c r="O26" s="117"/>
      <c r="P26" s="117"/>
      <c r="Q26" s="117"/>
    </row>
    <row r="27" spans="1:17" s="98" customFormat="1" x14ac:dyDescent="0.25">
      <c r="A27" s="15"/>
      <c r="B27" s="121"/>
      <c r="C27" s="80"/>
      <c r="D27" s="115"/>
      <c r="E27" s="116"/>
      <c r="G27" s="117"/>
      <c r="H27" s="118">
        <f>ROUNDUP(F33,0)</f>
        <v>1260</v>
      </c>
      <c r="I27" s="119" t="s">
        <v>201</v>
      </c>
      <c r="J27" s="87">
        <f>+B7*F33</f>
        <v>496.85999999999996</v>
      </c>
      <c r="K27" s="120">
        <f>F33*G7</f>
        <v>685.86</v>
      </c>
      <c r="L27" s="117"/>
      <c r="M27" s="500"/>
      <c r="N27" s="500"/>
      <c r="O27" s="117"/>
      <c r="P27" s="117"/>
      <c r="Q27" s="117"/>
    </row>
    <row r="28" spans="1:17" s="125" customFormat="1" ht="31.5" x14ac:dyDescent="0.25">
      <c r="A28" s="653" t="s">
        <v>266</v>
      </c>
      <c r="B28" s="148" t="s">
        <v>199</v>
      </c>
      <c r="C28" s="149" t="s">
        <v>196</v>
      </c>
      <c r="D28" s="148" t="s">
        <v>197</v>
      </c>
      <c r="E28" s="122" t="s">
        <v>198</v>
      </c>
      <c r="F28" s="150" t="s">
        <v>188</v>
      </c>
      <c r="G28" s="124"/>
      <c r="H28" s="302">
        <v>1</v>
      </c>
      <c r="I28" s="62" t="s">
        <v>177</v>
      </c>
      <c r="J28" s="87">
        <f>+H28*45</f>
        <v>45</v>
      </c>
      <c r="K28" s="93">
        <f>+H28*85</f>
        <v>85</v>
      </c>
      <c r="L28" s="124"/>
      <c r="M28" s="502"/>
      <c r="N28" s="502"/>
      <c r="O28" s="124"/>
      <c r="P28" s="124"/>
      <c r="Q28" s="124"/>
    </row>
    <row r="29" spans="1:17" s="81" customFormat="1" x14ac:dyDescent="0.25">
      <c r="A29" s="78" t="s">
        <v>108</v>
      </c>
      <c r="B29" s="199" t="s">
        <v>203</v>
      </c>
      <c r="C29" s="192">
        <v>5000</v>
      </c>
      <c r="D29" s="199">
        <v>30</v>
      </c>
      <c r="E29" s="145">
        <f>IF(B29="Daily",7, IF(B29="Weekly",1, IF(B29="Every Other Day",4,"")))</f>
        <v>7</v>
      </c>
      <c r="F29" s="146">
        <f>+D29*E29</f>
        <v>210</v>
      </c>
      <c r="G29" s="83"/>
      <c r="H29" s="80">
        <f>IF(E33&gt;=25, E33+2, E33+1)</f>
        <v>30</v>
      </c>
      <c r="I29" s="62" t="s">
        <v>217</v>
      </c>
      <c r="J29" s="87">
        <f>0.25*H29</f>
        <v>7.5</v>
      </c>
      <c r="K29" s="93"/>
      <c r="L29" s="83"/>
      <c r="M29" s="503"/>
      <c r="N29" s="503"/>
      <c r="O29" s="83"/>
      <c r="P29" s="83"/>
      <c r="Q29" s="83"/>
    </row>
    <row r="30" spans="1:17" s="81" customFormat="1" x14ac:dyDescent="0.25">
      <c r="A30" s="78" t="s">
        <v>109</v>
      </c>
      <c r="B30" s="199" t="s">
        <v>203</v>
      </c>
      <c r="C30" s="192">
        <v>5000</v>
      </c>
      <c r="D30" s="199">
        <v>30</v>
      </c>
      <c r="E30" s="147">
        <f>IF(B30="Daily",7, IF(B30="Weekly",1, IF(B30="Every Other Day",4,"")))</f>
        <v>7</v>
      </c>
      <c r="F30" s="146">
        <f t="shared" ref="F30:F32" si="0">+D30*E30</f>
        <v>210</v>
      </c>
      <c r="G30" s="83"/>
      <c r="H30" s="80">
        <f>ROUNDUP(F34,0)</f>
        <v>5</v>
      </c>
      <c r="I30" s="62" t="s">
        <v>190</v>
      </c>
      <c r="J30" s="87">
        <f>+H30*0.8</f>
        <v>4</v>
      </c>
      <c r="K30" s="93"/>
      <c r="L30" s="83"/>
      <c r="M30" s="503"/>
      <c r="N30" s="503"/>
      <c r="O30" s="83"/>
      <c r="P30" s="83"/>
      <c r="Q30" s="83"/>
    </row>
    <row r="31" spans="1:17" s="81" customFormat="1" x14ac:dyDescent="0.25">
      <c r="A31" s="78" t="s">
        <v>110</v>
      </c>
      <c r="B31" s="199" t="s">
        <v>203</v>
      </c>
      <c r="C31" s="192">
        <v>10000</v>
      </c>
      <c r="D31" s="199">
        <v>60</v>
      </c>
      <c r="E31" s="147">
        <f>IF(B31="Daily",7, IF(B31="Weekly",1, IF(B31="Every Other Day",4,"")))</f>
        <v>7</v>
      </c>
      <c r="F31" s="146">
        <f t="shared" si="0"/>
        <v>420</v>
      </c>
      <c r="G31" s="83"/>
      <c r="H31" s="80">
        <f>H29</f>
        <v>30</v>
      </c>
      <c r="I31" s="62" t="s">
        <v>200</v>
      </c>
      <c r="J31" s="87">
        <f>(5/100)*H31</f>
        <v>1.5</v>
      </c>
      <c r="K31" s="93"/>
      <c r="L31" s="83"/>
      <c r="M31" s="503"/>
      <c r="N31" s="503"/>
      <c r="O31" s="83"/>
      <c r="P31" s="83"/>
      <c r="Q31" s="83"/>
    </row>
    <row r="32" spans="1:17" s="81" customFormat="1" x14ac:dyDescent="0.25">
      <c r="A32" s="100" t="s">
        <v>141</v>
      </c>
      <c r="B32" s="101" t="s">
        <v>203</v>
      </c>
      <c r="C32" s="102">
        <v>10000</v>
      </c>
      <c r="D32" s="101">
        <v>60</v>
      </c>
      <c r="E32" s="144">
        <f>IF(B32="Daily",7, IF(B32="Weekly",1, IF(B32="Every Other Day",4,"")))</f>
        <v>7</v>
      </c>
      <c r="F32" s="103">
        <f t="shared" si="0"/>
        <v>420</v>
      </c>
      <c r="G32" s="83"/>
      <c r="H32" s="303">
        <v>1</v>
      </c>
      <c r="I32" s="71" t="s">
        <v>192</v>
      </c>
      <c r="J32" s="142">
        <f>H32*3.65</f>
        <v>3.65</v>
      </c>
      <c r="K32" s="143"/>
      <c r="L32" s="83"/>
      <c r="M32" s="503"/>
      <c r="N32" s="503"/>
      <c r="O32" s="83"/>
      <c r="P32" s="83"/>
      <c r="Q32" s="83"/>
    </row>
    <row r="33" spans="1:17" s="81" customFormat="1" x14ac:dyDescent="0.25">
      <c r="A33" s="88"/>
      <c r="B33" s="79"/>
      <c r="C33" s="80"/>
      <c r="D33" s="82"/>
      <c r="E33" s="126">
        <f>SUM(E29:E32)</f>
        <v>28</v>
      </c>
      <c r="F33" s="127">
        <f>SUM(F29:F32)</f>
        <v>1260</v>
      </c>
      <c r="G33" s="83"/>
      <c r="H33" s="80"/>
      <c r="J33" s="128">
        <f>SUM(J27:J32)</f>
        <v>558.50999999999988</v>
      </c>
      <c r="K33" s="129">
        <f>ROUNDUP(SUM(K27:K32),0)</f>
        <v>771</v>
      </c>
      <c r="L33" s="83"/>
      <c r="M33" s="433" t="s">
        <v>202</v>
      </c>
      <c r="N33" s="428">
        <f>+K33-J33</f>
        <v>212.49000000000012</v>
      </c>
      <c r="O33" s="83"/>
      <c r="P33" s="83"/>
      <c r="Q33" s="83"/>
    </row>
    <row r="34" spans="1:17" s="81" customFormat="1" x14ac:dyDescent="0.25">
      <c r="A34" s="88"/>
      <c r="B34" s="79"/>
      <c r="C34" s="80"/>
      <c r="D34" s="82"/>
      <c r="E34" s="89" t="s">
        <v>204</v>
      </c>
      <c r="F34" s="110">
        <f>+F33/300</f>
        <v>4.2</v>
      </c>
      <c r="G34" s="83"/>
      <c r="H34" s="80"/>
      <c r="I34" s="131" t="s">
        <v>189</v>
      </c>
      <c r="J34" s="113">
        <f>+J33/H27</f>
        <v>0.44326190476190469</v>
      </c>
      <c r="K34" s="112">
        <f>+K33/H27</f>
        <v>0.61190476190476195</v>
      </c>
      <c r="L34" s="83"/>
      <c r="M34" s="503"/>
      <c r="N34" s="503"/>
      <c r="O34" s="83"/>
      <c r="P34" s="83"/>
      <c r="Q34" s="83"/>
    </row>
    <row r="35" spans="1:17" s="81" customFormat="1" x14ac:dyDescent="0.25">
      <c r="A35" s="88"/>
      <c r="B35" s="79"/>
      <c r="C35" s="80"/>
      <c r="D35" s="82"/>
      <c r="E35" s="109"/>
      <c r="G35" s="83"/>
      <c r="H35" s="80"/>
      <c r="I35" s="131"/>
      <c r="J35" s="131"/>
      <c r="K35" s="131"/>
      <c r="L35" s="83"/>
      <c r="M35" s="503"/>
      <c r="N35" s="503"/>
      <c r="O35" s="83"/>
      <c r="P35" s="83"/>
      <c r="Q35" s="83"/>
    </row>
    <row r="36" spans="1:17" s="107" customFormat="1" x14ac:dyDescent="0.25">
      <c r="A36" s="104"/>
      <c r="B36" s="105"/>
      <c r="C36" s="106"/>
      <c r="D36" s="108"/>
      <c r="E36" s="151"/>
      <c r="H36" s="106"/>
      <c r="M36" s="504"/>
      <c r="N36" s="504"/>
    </row>
    <row r="37" spans="1:17" s="98" customFormat="1" x14ac:dyDescent="0.25">
      <c r="A37" s="15"/>
      <c r="B37" s="87"/>
      <c r="C37" s="80"/>
      <c r="D37" s="115"/>
      <c r="E37" s="116"/>
      <c r="G37" s="117"/>
      <c r="H37" s="80"/>
      <c r="J37" s="152"/>
      <c r="K37" s="153"/>
      <c r="L37" s="117"/>
      <c r="M37" s="500"/>
      <c r="N37" s="500"/>
      <c r="O37" s="117"/>
      <c r="P37" s="117"/>
      <c r="Q37" s="117"/>
    </row>
    <row r="38" spans="1:17" s="98" customFormat="1" x14ac:dyDescent="0.25">
      <c r="A38" s="15"/>
      <c r="B38" s="87"/>
      <c r="C38" s="80"/>
      <c r="D38" s="115"/>
      <c r="E38" s="116"/>
      <c r="G38" s="117"/>
      <c r="H38" s="80"/>
      <c r="K38" s="114" t="s">
        <v>144</v>
      </c>
      <c r="L38" s="117"/>
      <c r="M38" s="500"/>
      <c r="N38" s="500"/>
      <c r="O38" s="117"/>
      <c r="P38" s="117"/>
      <c r="Q38" s="117"/>
    </row>
    <row r="39" spans="1:17" s="98" customFormat="1" x14ac:dyDescent="0.25">
      <c r="A39" s="15"/>
      <c r="B39" s="121"/>
      <c r="C39" s="80"/>
      <c r="D39" s="115"/>
      <c r="E39" s="116"/>
      <c r="G39" s="117"/>
      <c r="H39" s="118">
        <f>ROUNDUP(F45,0)</f>
        <v>1680</v>
      </c>
      <c r="I39" s="119" t="s">
        <v>201</v>
      </c>
      <c r="J39" s="87">
        <f>+B7*F45</f>
        <v>662.48</v>
      </c>
      <c r="K39" s="120">
        <f>+F45*G7</f>
        <v>914.48</v>
      </c>
      <c r="L39" s="117"/>
      <c r="M39" s="500"/>
      <c r="N39" s="500"/>
      <c r="O39" s="117"/>
      <c r="P39" s="117"/>
      <c r="Q39" s="117"/>
    </row>
    <row r="40" spans="1:17" s="125" customFormat="1" ht="31.5" x14ac:dyDescent="0.25">
      <c r="A40" s="653" t="s">
        <v>268</v>
      </c>
      <c r="B40" s="148" t="s">
        <v>199</v>
      </c>
      <c r="C40" s="123" t="s">
        <v>196</v>
      </c>
      <c r="D40" s="122" t="s">
        <v>197</v>
      </c>
      <c r="E40" s="122" t="s">
        <v>198</v>
      </c>
      <c r="F40" s="150" t="s">
        <v>188</v>
      </c>
      <c r="G40" s="124"/>
      <c r="H40" s="302">
        <v>0</v>
      </c>
      <c r="I40" s="62" t="s">
        <v>177</v>
      </c>
      <c r="J40" s="87">
        <f>+H40*45</f>
        <v>0</v>
      </c>
      <c r="K40" s="93">
        <f>+H40*85</f>
        <v>0</v>
      </c>
      <c r="L40" s="124"/>
      <c r="M40" s="502"/>
      <c r="N40" s="502"/>
      <c r="O40" s="124"/>
      <c r="P40" s="124"/>
      <c r="Q40" s="124"/>
    </row>
    <row r="41" spans="1:17" s="81" customFormat="1" x14ac:dyDescent="0.25">
      <c r="A41" s="78" t="s">
        <v>207</v>
      </c>
      <c r="B41" s="199" t="s">
        <v>203</v>
      </c>
      <c r="C41" s="320">
        <v>10000</v>
      </c>
      <c r="D41" s="321">
        <v>60</v>
      </c>
      <c r="E41" s="145">
        <f>IF(B41="Daily",7, IF(B41="Weekly",1, IF(B41="Every Other Day",4,"")))</f>
        <v>7</v>
      </c>
      <c r="F41" s="146">
        <f>+D41*E41</f>
        <v>420</v>
      </c>
      <c r="G41" s="83"/>
      <c r="H41" s="80">
        <f>IF(E45&gt;=25, E45+2, E45+1)</f>
        <v>30</v>
      </c>
      <c r="I41" s="62" t="s">
        <v>217</v>
      </c>
      <c r="J41" s="87">
        <f>0.25*H41</f>
        <v>7.5</v>
      </c>
      <c r="K41" s="93"/>
      <c r="L41" s="83"/>
      <c r="M41" s="503"/>
      <c r="N41" s="503"/>
      <c r="O41" s="83"/>
      <c r="P41" s="83"/>
      <c r="Q41" s="83"/>
    </row>
    <row r="42" spans="1:17" s="81" customFormat="1" x14ac:dyDescent="0.25">
      <c r="A42" s="78" t="s">
        <v>208</v>
      </c>
      <c r="B42" s="199" t="s">
        <v>203</v>
      </c>
      <c r="C42" s="315">
        <v>10000</v>
      </c>
      <c r="D42" s="316">
        <v>60</v>
      </c>
      <c r="E42" s="147">
        <f>IF(B42="Daily",7, IF(B42="Weekly",1, IF(B42="Every Other Day",4,"")))</f>
        <v>7</v>
      </c>
      <c r="F42" s="146">
        <f t="shared" ref="F42:F44" si="1">+D42*E42</f>
        <v>420</v>
      </c>
      <c r="G42" s="83"/>
      <c r="H42" s="80">
        <f>ROUNDUP(F46,0)</f>
        <v>6</v>
      </c>
      <c r="I42" s="62" t="s">
        <v>190</v>
      </c>
      <c r="J42" s="87">
        <f>+H42*0.8</f>
        <v>4.8000000000000007</v>
      </c>
      <c r="K42" s="93"/>
      <c r="L42" s="83"/>
      <c r="M42" s="503"/>
      <c r="N42" s="503"/>
      <c r="O42" s="83"/>
      <c r="P42" s="83"/>
      <c r="Q42" s="83"/>
    </row>
    <row r="43" spans="1:17" s="81" customFormat="1" x14ac:dyDescent="0.25">
      <c r="A43" s="78" t="s">
        <v>209</v>
      </c>
      <c r="B43" s="199" t="s">
        <v>203</v>
      </c>
      <c r="C43" s="315">
        <v>10000</v>
      </c>
      <c r="D43" s="316">
        <v>60</v>
      </c>
      <c r="E43" s="147">
        <f>IF(B43="Daily",7, IF(B43="Weekly",1, IF(B43="Every Other Day",4,"")))</f>
        <v>7</v>
      </c>
      <c r="F43" s="146">
        <f t="shared" si="1"/>
        <v>420</v>
      </c>
      <c r="G43" s="83"/>
      <c r="H43" s="80">
        <f>H41</f>
        <v>30</v>
      </c>
      <c r="I43" s="62" t="s">
        <v>200</v>
      </c>
      <c r="J43" s="87">
        <f>(5/100)*H43</f>
        <v>1.5</v>
      </c>
      <c r="K43" s="93"/>
      <c r="L43" s="83"/>
      <c r="M43" s="503"/>
      <c r="N43" s="503"/>
      <c r="O43" s="83"/>
      <c r="P43" s="83"/>
      <c r="Q43" s="83"/>
    </row>
    <row r="44" spans="1:17" s="81" customFormat="1" x14ac:dyDescent="0.25">
      <c r="A44" s="100" t="s">
        <v>210</v>
      </c>
      <c r="B44" s="101" t="s">
        <v>203</v>
      </c>
      <c r="C44" s="102">
        <v>10000</v>
      </c>
      <c r="D44" s="101">
        <v>60</v>
      </c>
      <c r="E44" s="144">
        <f>IF(B44="Daily",7, IF(B44="Weekly",1, IF(B44="Every Other Day",4,"")))</f>
        <v>7</v>
      </c>
      <c r="F44" s="103">
        <f t="shared" si="1"/>
        <v>420</v>
      </c>
      <c r="G44" s="83"/>
      <c r="H44" s="303">
        <v>0</v>
      </c>
      <c r="I44" s="71" t="s">
        <v>192</v>
      </c>
      <c r="J44" s="142">
        <f>H44*3.65</f>
        <v>0</v>
      </c>
      <c r="K44" s="143"/>
      <c r="L44" s="83"/>
      <c r="M44" s="503"/>
      <c r="N44" s="503"/>
      <c r="O44" s="83"/>
      <c r="P44" s="83"/>
      <c r="Q44" s="83"/>
    </row>
    <row r="45" spans="1:17" s="81" customFormat="1" x14ac:dyDescent="0.25">
      <c r="A45" s="88"/>
      <c r="B45" s="79"/>
      <c r="C45" s="80"/>
      <c r="D45" s="82"/>
      <c r="E45" s="126">
        <f>SUM(E41:E44)</f>
        <v>28</v>
      </c>
      <c r="F45" s="127">
        <f>SUM(F41:F44)</f>
        <v>1680</v>
      </c>
      <c r="G45" s="83"/>
      <c r="H45" s="80"/>
      <c r="J45" s="128">
        <f>SUM(J39:J44)</f>
        <v>676.28</v>
      </c>
      <c r="K45" s="129">
        <f>ROUNDUP(SUM(K39:K44),0)</f>
        <v>915</v>
      </c>
      <c r="L45" s="83"/>
      <c r="M45" s="433" t="s">
        <v>202</v>
      </c>
      <c r="N45" s="428">
        <f>+K45-J45</f>
        <v>238.72000000000003</v>
      </c>
      <c r="O45" s="83"/>
      <c r="P45" s="83"/>
      <c r="Q45" s="83"/>
    </row>
    <row r="46" spans="1:17" s="81" customFormat="1" x14ac:dyDescent="0.25">
      <c r="A46" s="88"/>
      <c r="B46" s="79"/>
      <c r="C46" s="80"/>
      <c r="D46" s="82"/>
      <c r="E46" s="89" t="s">
        <v>204</v>
      </c>
      <c r="F46" s="110">
        <f>+F45/300</f>
        <v>5.6</v>
      </c>
      <c r="G46" s="83"/>
      <c r="H46" s="80"/>
      <c r="I46" s="131" t="s">
        <v>189</v>
      </c>
      <c r="J46" s="113">
        <f>+J45/H39</f>
        <v>0.40254761904761904</v>
      </c>
      <c r="K46" s="112">
        <f>+K45/H39</f>
        <v>0.5446428571428571</v>
      </c>
      <c r="L46" s="83"/>
      <c r="M46" s="503"/>
      <c r="N46" s="503"/>
      <c r="O46" s="83"/>
      <c r="P46" s="83"/>
      <c r="Q46" s="83"/>
    </row>
    <row r="47" spans="1:17" s="81" customFormat="1" x14ac:dyDescent="0.25">
      <c r="A47" s="88"/>
      <c r="B47" s="79"/>
      <c r="C47" s="80"/>
      <c r="D47" s="82"/>
      <c r="E47" s="109"/>
      <c r="G47" s="83"/>
      <c r="H47" s="80"/>
      <c r="I47" s="131"/>
      <c r="J47" s="131"/>
      <c r="K47" s="131"/>
      <c r="L47" s="83"/>
      <c r="M47" s="503"/>
      <c r="N47" s="503"/>
      <c r="O47" s="83"/>
      <c r="P47" s="83"/>
      <c r="Q47" s="83"/>
    </row>
    <row r="48" spans="1:17" s="107" customFormat="1" x14ac:dyDescent="0.25">
      <c r="A48" s="104"/>
      <c r="B48" s="105"/>
      <c r="C48" s="106"/>
      <c r="E48" s="108"/>
      <c r="F48" s="151"/>
      <c r="I48" s="106"/>
      <c r="N48" s="504"/>
      <c r="O48" s="504"/>
    </row>
    <row r="49" spans="1:18" s="98" customFormat="1" x14ac:dyDescent="0.25">
      <c r="A49" s="15"/>
      <c r="B49" s="87"/>
      <c r="C49" s="80"/>
      <c r="D49" s="115"/>
      <c r="E49" s="116"/>
      <c r="G49" s="117"/>
      <c r="H49" s="80"/>
      <c r="J49" s="152"/>
      <c r="K49" s="153"/>
      <c r="L49" s="117"/>
      <c r="M49" s="500"/>
      <c r="N49" s="500"/>
      <c r="O49" s="117"/>
      <c r="P49" s="117"/>
      <c r="Q49" s="117"/>
    </row>
    <row r="50" spans="1:18" s="98" customFormat="1" x14ac:dyDescent="0.25">
      <c r="A50" s="15"/>
      <c r="B50" s="87"/>
      <c r="C50" s="80"/>
      <c r="D50" s="115"/>
      <c r="E50" s="116"/>
      <c r="G50" s="117"/>
      <c r="H50" s="80"/>
      <c r="K50" s="114" t="s">
        <v>144</v>
      </c>
      <c r="L50" s="117"/>
      <c r="M50" s="500"/>
      <c r="N50" s="500"/>
      <c r="O50" s="117"/>
      <c r="P50" s="117"/>
      <c r="Q50" s="117"/>
    </row>
    <row r="51" spans="1:18" s="98" customFormat="1" x14ac:dyDescent="0.25">
      <c r="A51" s="15"/>
      <c r="B51" s="121"/>
      <c r="C51" s="80"/>
      <c r="D51" s="115"/>
      <c r="E51" s="116"/>
      <c r="G51" s="117"/>
      <c r="H51" s="118">
        <f>ROUNDUP(F57,0)</f>
        <v>1680</v>
      </c>
      <c r="I51" s="119" t="s">
        <v>201</v>
      </c>
      <c r="J51" s="87">
        <f>+B7*F57</f>
        <v>662.48</v>
      </c>
      <c r="K51" s="120">
        <f>H51*G7</f>
        <v>914.48</v>
      </c>
      <c r="L51" s="117"/>
      <c r="M51" s="500"/>
      <c r="N51" s="500"/>
      <c r="O51" s="117"/>
      <c r="P51" s="117"/>
      <c r="Q51" s="117"/>
    </row>
    <row r="52" spans="1:18" s="125" customFormat="1" ht="31.5" x14ac:dyDescent="0.25">
      <c r="A52" s="653" t="s">
        <v>269</v>
      </c>
      <c r="B52" s="148" t="s">
        <v>199</v>
      </c>
      <c r="C52" s="123" t="s">
        <v>196</v>
      </c>
      <c r="D52" s="122" t="s">
        <v>197</v>
      </c>
      <c r="E52" s="122" t="s">
        <v>198</v>
      </c>
      <c r="F52" s="150" t="s">
        <v>188</v>
      </c>
      <c r="G52" s="124"/>
      <c r="H52" s="302">
        <v>0</v>
      </c>
      <c r="I52" s="62" t="s">
        <v>177</v>
      </c>
      <c r="J52" s="87">
        <f>+H52*45</f>
        <v>0</v>
      </c>
      <c r="K52" s="93">
        <f>+H52*85</f>
        <v>0</v>
      </c>
      <c r="L52" s="124"/>
      <c r="M52" s="502"/>
      <c r="N52" s="502"/>
      <c r="O52" s="124"/>
      <c r="P52" s="124"/>
      <c r="Q52" s="124"/>
    </row>
    <row r="53" spans="1:18" s="81" customFormat="1" x14ac:dyDescent="0.25">
      <c r="A53" s="193" t="s">
        <v>211</v>
      </c>
      <c r="B53" s="199" t="s">
        <v>203</v>
      </c>
      <c r="C53" s="320">
        <v>10000</v>
      </c>
      <c r="D53" s="321">
        <v>60</v>
      </c>
      <c r="E53" s="145">
        <f>IF(B53="Daily",7, IF(B53="Weekly",1, IF(B53="Every Other Day",4,"")))</f>
        <v>7</v>
      </c>
      <c r="F53" s="146">
        <f>+D53*E53</f>
        <v>420</v>
      </c>
      <c r="G53" s="83"/>
      <c r="H53" s="80">
        <f>IF(E57&gt;=25, E57+2, E57+1)</f>
        <v>30</v>
      </c>
      <c r="I53" s="62" t="s">
        <v>217</v>
      </c>
      <c r="J53" s="87">
        <f>0.25*H53</f>
        <v>7.5</v>
      </c>
      <c r="K53" s="93"/>
      <c r="L53" s="83"/>
      <c r="M53" s="503"/>
      <c r="N53" s="503"/>
      <c r="O53" s="83"/>
      <c r="P53" s="83"/>
      <c r="Q53" s="83"/>
    </row>
    <row r="54" spans="1:18" s="81" customFormat="1" x14ac:dyDescent="0.25">
      <c r="A54" s="193" t="s">
        <v>212</v>
      </c>
      <c r="B54" s="199" t="s">
        <v>203</v>
      </c>
      <c r="C54" s="315">
        <v>10000</v>
      </c>
      <c r="D54" s="316">
        <v>60</v>
      </c>
      <c r="E54" s="147">
        <f>IF(B54="Daily",7, IF(B54="Weekly",1, IF(B54="Every Other Day",4,"")))</f>
        <v>7</v>
      </c>
      <c r="F54" s="146">
        <f t="shared" ref="F54:F56" si="2">+D54*E54</f>
        <v>420</v>
      </c>
      <c r="G54" s="83"/>
      <c r="H54" s="80">
        <f>ROUNDUP(F58,0)</f>
        <v>6</v>
      </c>
      <c r="I54" s="62" t="s">
        <v>190</v>
      </c>
      <c r="J54" s="87">
        <f>+H54*0.8</f>
        <v>4.8000000000000007</v>
      </c>
      <c r="K54" s="93"/>
      <c r="L54" s="83"/>
      <c r="M54" s="503"/>
      <c r="N54" s="503"/>
      <c r="O54" s="83"/>
      <c r="P54" s="83"/>
      <c r="Q54" s="83"/>
    </row>
    <row r="55" spans="1:18" s="81" customFormat="1" x14ac:dyDescent="0.25">
      <c r="A55" s="193" t="s">
        <v>213</v>
      </c>
      <c r="B55" s="199" t="s">
        <v>203</v>
      </c>
      <c r="C55" s="315">
        <v>10000</v>
      </c>
      <c r="D55" s="316">
        <v>60</v>
      </c>
      <c r="E55" s="147">
        <f>IF(B55="Daily",7, IF(B55="Weekly",1, IF(B55="Every Other Day",4,"")))</f>
        <v>7</v>
      </c>
      <c r="F55" s="146">
        <f t="shared" si="2"/>
        <v>420</v>
      </c>
      <c r="G55" s="83"/>
      <c r="H55" s="80">
        <f>H53</f>
        <v>30</v>
      </c>
      <c r="I55" s="62" t="s">
        <v>200</v>
      </c>
      <c r="J55" s="87">
        <f>(5/100)*H55</f>
        <v>1.5</v>
      </c>
      <c r="K55" s="93"/>
      <c r="L55" s="83"/>
      <c r="M55" s="503"/>
      <c r="N55" s="503"/>
      <c r="O55" s="83"/>
      <c r="P55" s="83"/>
      <c r="Q55" s="83"/>
    </row>
    <row r="56" spans="1:18" s="81" customFormat="1" x14ac:dyDescent="0.25">
      <c r="A56" s="195" t="s">
        <v>214</v>
      </c>
      <c r="B56" s="101" t="s">
        <v>203</v>
      </c>
      <c r="C56" s="102">
        <v>10000</v>
      </c>
      <c r="D56" s="101">
        <v>60</v>
      </c>
      <c r="E56" s="144">
        <f>IF(B56="Daily",7, IF(B56="Weekly",1, IF(B56="Every Other Day",4,"")))</f>
        <v>7</v>
      </c>
      <c r="F56" s="103">
        <f t="shared" si="2"/>
        <v>420</v>
      </c>
      <c r="G56" s="83"/>
      <c r="H56" s="303">
        <v>0</v>
      </c>
      <c r="I56" s="71" t="s">
        <v>192</v>
      </c>
      <c r="J56" s="142">
        <f>H56*3.65</f>
        <v>0</v>
      </c>
      <c r="K56" s="143"/>
      <c r="L56" s="83"/>
      <c r="M56" s="503"/>
      <c r="N56" s="503"/>
      <c r="O56" s="83"/>
      <c r="P56" s="83"/>
      <c r="Q56" s="83"/>
    </row>
    <row r="57" spans="1:18" s="81" customFormat="1" x14ac:dyDescent="0.25">
      <c r="A57" s="88"/>
      <c r="B57" s="79"/>
      <c r="C57" s="80"/>
      <c r="D57" s="82"/>
      <c r="E57" s="126">
        <f>SUM(E53:E56)</f>
        <v>28</v>
      </c>
      <c r="F57" s="127">
        <f>SUM(F53:F56)</f>
        <v>1680</v>
      </c>
      <c r="G57" s="83"/>
      <c r="H57" s="80"/>
      <c r="J57" s="128">
        <f>SUM(J51:J56)</f>
        <v>676.28</v>
      </c>
      <c r="K57" s="129">
        <f>ROUNDUP(SUM(K51:K56),0)</f>
        <v>915</v>
      </c>
      <c r="L57" s="83"/>
      <c r="M57" s="433" t="s">
        <v>202</v>
      </c>
      <c r="N57" s="428">
        <f>+K57-J57</f>
        <v>238.72000000000003</v>
      </c>
      <c r="O57" s="83"/>
      <c r="P57" s="83"/>
      <c r="Q57" s="83"/>
    </row>
    <row r="58" spans="1:18" s="81" customFormat="1" x14ac:dyDescent="0.25">
      <c r="A58" s="88"/>
      <c r="B58" s="79"/>
      <c r="C58" s="80"/>
      <c r="D58" s="82"/>
      <c r="E58" s="89" t="s">
        <v>204</v>
      </c>
      <c r="F58" s="110">
        <f>+F57/300</f>
        <v>5.6</v>
      </c>
      <c r="G58" s="83"/>
      <c r="H58" s="80"/>
      <c r="I58" s="131" t="s">
        <v>189</v>
      </c>
      <c r="J58" s="113">
        <f>+J57/H51</f>
        <v>0.40254761904761904</v>
      </c>
      <c r="K58" s="112">
        <f>+K57/H51</f>
        <v>0.5446428571428571</v>
      </c>
      <c r="L58" s="83"/>
      <c r="M58" s="503"/>
      <c r="N58" s="503"/>
      <c r="O58" s="83"/>
      <c r="P58" s="83"/>
      <c r="Q58" s="83"/>
    </row>
    <row r="59" spans="1:18" s="81" customFormat="1" x14ac:dyDescent="0.25">
      <c r="A59" s="88"/>
      <c r="B59" s="79"/>
      <c r="C59" s="80"/>
      <c r="D59" s="82"/>
      <c r="E59" s="109"/>
      <c r="G59" s="83"/>
      <c r="H59" s="80"/>
      <c r="I59" s="131"/>
      <c r="J59" s="131"/>
      <c r="K59" s="131"/>
      <c r="L59" s="83"/>
      <c r="M59" s="503"/>
      <c r="N59" s="503"/>
      <c r="O59" s="83"/>
      <c r="P59" s="83"/>
      <c r="Q59" s="83"/>
    </row>
    <row r="60" spans="1:18" s="107" customFormat="1" x14ac:dyDescent="0.25">
      <c r="A60" s="104"/>
      <c r="B60" s="105"/>
      <c r="C60" s="106"/>
      <c r="E60" s="108"/>
      <c r="F60" s="151"/>
      <c r="I60" s="106"/>
      <c r="N60" s="504"/>
      <c r="O60" s="504"/>
    </row>
    <row r="61" spans="1:18" s="81" customFormat="1" x14ac:dyDescent="0.25">
      <c r="A61" s="88"/>
      <c r="B61" s="79"/>
      <c r="C61" s="80"/>
      <c r="E61" s="82"/>
      <c r="F61" s="109"/>
      <c r="H61" s="83"/>
      <c r="I61" s="80"/>
      <c r="J61" s="110"/>
      <c r="K61" s="111"/>
      <c r="L61" s="112"/>
      <c r="M61" s="83"/>
      <c r="N61" s="503"/>
      <c r="O61" s="503"/>
      <c r="P61" s="83"/>
      <c r="Q61" s="83"/>
      <c r="R61" s="83"/>
    </row>
    <row r="62" spans="1:18" s="81" customFormat="1" x14ac:dyDescent="0.25">
      <c r="A62" s="88" t="s">
        <v>215</v>
      </c>
      <c r="B62" s="79" t="s">
        <v>216</v>
      </c>
      <c r="C62" s="80"/>
      <c r="E62" s="82"/>
      <c r="F62" s="109"/>
      <c r="H62" s="83"/>
      <c r="I62" s="80"/>
      <c r="J62" s="110"/>
      <c r="K62" s="111"/>
      <c r="L62" s="112"/>
      <c r="M62" s="83"/>
      <c r="N62" s="503"/>
      <c r="O62" s="503"/>
      <c r="P62" s="83"/>
      <c r="Q62" s="83"/>
      <c r="R62" s="83"/>
    </row>
    <row r="63" spans="1:18" s="81" customFormat="1" x14ac:dyDescent="0.25">
      <c r="A63" s="13" t="s">
        <v>195</v>
      </c>
      <c r="B63" s="79"/>
      <c r="C63" s="80"/>
      <c r="E63" s="82"/>
      <c r="F63" s="109"/>
      <c r="H63" s="83"/>
      <c r="I63" s="80"/>
      <c r="J63" s="110"/>
      <c r="K63" s="111"/>
      <c r="L63" s="112"/>
      <c r="M63" s="83"/>
      <c r="N63" s="503"/>
      <c r="O63" s="503"/>
      <c r="P63" s="83"/>
      <c r="Q63" s="83"/>
      <c r="R63" s="83"/>
    </row>
    <row r="64" spans="1:18" s="81" customFormat="1" x14ac:dyDescent="0.25">
      <c r="A64" s="88"/>
      <c r="B64" s="79"/>
      <c r="C64" s="80"/>
      <c r="E64" s="82"/>
      <c r="F64" s="109"/>
      <c r="H64" s="83"/>
      <c r="I64" s="80"/>
      <c r="J64" s="110"/>
      <c r="K64" s="111"/>
      <c r="L64" s="112"/>
      <c r="M64" s="83"/>
      <c r="N64" s="503"/>
      <c r="O64" s="503"/>
      <c r="P64" s="83"/>
      <c r="Q64" s="83"/>
      <c r="R64" s="83"/>
    </row>
    <row r="65" spans="1:15" s="379" customFormat="1" x14ac:dyDescent="0.25">
      <c r="E65" s="380"/>
      <c r="G65" s="381"/>
      <c r="H65" s="382"/>
      <c r="I65" s="383"/>
      <c r="L65" s="141"/>
      <c r="N65" s="531"/>
      <c r="O65" s="506"/>
    </row>
    <row r="66" spans="1:15" s="379" customFormat="1" x14ac:dyDescent="0.25">
      <c r="D66" s="380"/>
      <c r="F66" s="141"/>
      <c r="G66" s="382"/>
      <c r="H66" s="383"/>
      <c r="K66" s="141"/>
      <c r="N66" s="506"/>
      <c r="O66" s="506"/>
    </row>
    <row r="67" spans="1:15" s="379" customFormat="1" x14ac:dyDescent="0.25">
      <c r="D67" s="380"/>
      <c r="F67" s="141"/>
      <c r="G67" s="382"/>
      <c r="H67" s="383"/>
      <c r="K67" s="141"/>
      <c r="N67" s="506"/>
      <c r="O67" s="506"/>
    </row>
    <row r="68" spans="1:15" s="379" customFormat="1" x14ac:dyDescent="0.25">
      <c r="D68" s="380"/>
      <c r="F68" s="141"/>
      <c r="G68" s="382"/>
      <c r="H68" s="383"/>
      <c r="K68" s="141"/>
      <c r="N68" s="506"/>
      <c r="O68" s="506"/>
    </row>
    <row r="69" spans="1:15" x14ac:dyDescent="0.25">
      <c r="D69" s="67"/>
      <c r="E69"/>
      <c r="F69" s="62"/>
      <c r="G69" s="13"/>
      <c r="H69" s="96"/>
      <c r="I69"/>
      <c r="K69" s="62"/>
      <c r="L69"/>
      <c r="M69" s="62"/>
      <c r="N69" s="507"/>
      <c r="O69" s="507"/>
    </row>
    <row r="70" spans="1:15" x14ac:dyDescent="0.25">
      <c r="A70" t="s">
        <v>351</v>
      </c>
      <c r="D70" s="67"/>
      <c r="E70" s="62"/>
      <c r="F70" s="62"/>
      <c r="G70" s="13"/>
      <c r="H70" s="96"/>
      <c r="I70" s="62"/>
      <c r="J70" s="62"/>
      <c r="K70" s="62"/>
      <c r="L70"/>
      <c r="N70" s="507"/>
      <c r="O70" s="507"/>
    </row>
    <row r="71" spans="1:15" ht="17.25" customHeight="1" x14ac:dyDescent="0.25">
      <c r="D71" s="532" t="s">
        <v>375</v>
      </c>
      <c r="E71" s="62"/>
      <c r="F71" s="62"/>
      <c r="G71" s="13"/>
      <c r="H71" s="96"/>
      <c r="I71" s="62"/>
      <c r="J71" s="62"/>
      <c r="K71" s="62"/>
      <c r="L71"/>
      <c r="N71" s="507"/>
      <c r="O71" s="507"/>
    </row>
    <row r="72" spans="1:15" s="61" customFormat="1" x14ac:dyDescent="0.25">
      <c r="A72" s="61" t="s">
        <v>368</v>
      </c>
      <c r="D72" s="61" t="s">
        <v>369</v>
      </c>
      <c r="E72" s="453"/>
      <c r="F72" s="453"/>
      <c r="G72" s="458"/>
      <c r="H72" s="459"/>
      <c r="I72" s="453"/>
      <c r="J72" s="453"/>
      <c r="K72" s="453"/>
      <c r="N72" s="563"/>
      <c r="O72" s="563"/>
    </row>
    <row r="73" spans="1:15" x14ac:dyDescent="0.25">
      <c r="B73" s="61"/>
      <c r="D73" s="67"/>
      <c r="E73" s="62" t="s">
        <v>366</v>
      </c>
      <c r="F73" s="461">
        <f>F45</f>
        <v>1680</v>
      </c>
      <c r="G73" s="13"/>
      <c r="H73" s="96"/>
      <c r="I73" s="62"/>
      <c r="J73" s="62"/>
      <c r="K73" s="62"/>
      <c r="L73"/>
      <c r="N73" s="507"/>
      <c r="O73" s="507"/>
    </row>
    <row r="74" spans="1:15" x14ac:dyDescent="0.25">
      <c r="A74" s="368" t="s">
        <v>364</v>
      </c>
      <c r="B74" s="460">
        <f>N45</f>
        <v>238.72000000000003</v>
      </c>
      <c r="D74" s="67"/>
      <c r="E74" s="71" t="s">
        <v>360</v>
      </c>
      <c r="F74" s="71">
        <v>10</v>
      </c>
      <c r="G74" s="13"/>
      <c r="H74" s="96"/>
      <c r="I74" s="62"/>
      <c r="J74" s="62"/>
      <c r="K74" s="62"/>
      <c r="L74"/>
    </row>
    <row r="75" spans="1:15" x14ac:dyDescent="0.25">
      <c r="D75" s="67"/>
      <c r="E75" s="62"/>
      <c r="F75" s="62">
        <f>+F74*F73</f>
        <v>16800</v>
      </c>
      <c r="G75" s="13" t="s">
        <v>367</v>
      </c>
      <c r="H75" s="96"/>
      <c r="I75" s="62"/>
      <c r="J75" s="62"/>
      <c r="K75" s="62"/>
      <c r="L75"/>
    </row>
    <row r="76" spans="1:15" x14ac:dyDescent="0.25">
      <c r="D76" s="67"/>
      <c r="E76" s="453" t="s">
        <v>361</v>
      </c>
      <c r="F76" s="453">
        <f>ROUNDUP((F75/300),0)</f>
        <v>56</v>
      </c>
      <c r="G76" s="13"/>
      <c r="H76" s="96"/>
      <c r="I76" s="62"/>
      <c r="J76" s="62"/>
      <c r="K76" s="62"/>
      <c r="L76"/>
    </row>
    <row r="77" spans="1:15" x14ac:dyDescent="0.25">
      <c r="D77" s="67"/>
      <c r="E77" s="62" t="s">
        <v>362</v>
      </c>
      <c r="F77" s="454">
        <f>+F76*F5</f>
        <v>2520</v>
      </c>
      <c r="G77" s="13"/>
      <c r="H77" s="96"/>
      <c r="I77" s="62"/>
      <c r="J77" s="62"/>
      <c r="K77" s="62"/>
      <c r="L77"/>
    </row>
    <row r="78" spans="1:15" x14ac:dyDescent="0.25">
      <c r="D78" s="67"/>
      <c r="E78" s="62"/>
      <c r="F78" s="62"/>
      <c r="G78" s="13"/>
      <c r="H78" s="96"/>
      <c r="I78" s="62"/>
      <c r="J78" s="62"/>
      <c r="K78" s="62"/>
      <c r="L78"/>
    </row>
    <row r="79" spans="1:15" x14ac:dyDescent="0.25">
      <c r="D79" s="455"/>
      <c r="E79" s="456" t="s">
        <v>363</v>
      </c>
      <c r="F79" s="457">
        <f>+F77/10</f>
        <v>252</v>
      </c>
      <c r="G79" s="13"/>
      <c r="H79" s="96"/>
      <c r="I79" s="62"/>
      <c r="J79" s="62"/>
      <c r="K79" s="62"/>
      <c r="L79"/>
    </row>
    <row r="81" spans="1:17" x14ac:dyDescent="0.25">
      <c r="G81"/>
      <c r="H81" s="95"/>
      <c r="N81" s="62"/>
    </row>
    <row r="83" spans="1:17" s="379" customFormat="1" x14ac:dyDescent="0.25">
      <c r="D83" s="380"/>
      <c r="E83" s="141"/>
      <c r="F83" s="141"/>
      <c r="G83" s="382"/>
      <c r="H83" s="383"/>
      <c r="I83" s="141"/>
      <c r="J83" s="141"/>
      <c r="K83" s="141"/>
    </row>
    <row r="84" spans="1:17" s="379" customFormat="1" x14ac:dyDescent="0.25">
      <c r="D84" s="380"/>
      <c r="E84" s="141"/>
      <c r="F84" s="141"/>
      <c r="G84" s="382"/>
      <c r="H84" s="383"/>
      <c r="I84" s="141"/>
      <c r="J84" s="141"/>
      <c r="K84" s="141"/>
    </row>
    <row r="85" spans="1:17" s="379" customFormat="1" x14ac:dyDescent="0.25">
      <c r="D85" s="380"/>
      <c r="E85" s="141"/>
      <c r="F85" s="141"/>
      <c r="G85" s="382"/>
      <c r="H85" s="383"/>
      <c r="I85" s="141"/>
      <c r="J85" s="141"/>
      <c r="K85" s="141"/>
    </row>
    <row r="86" spans="1:17" x14ac:dyDescent="0.25">
      <c r="D86" s="67"/>
      <c r="E86" s="62"/>
      <c r="F86" s="62"/>
      <c r="G86" s="13"/>
      <c r="H86" s="96"/>
      <c r="I86" s="62"/>
      <c r="J86" s="62"/>
      <c r="K86" s="62"/>
      <c r="L86"/>
    </row>
    <row r="87" spans="1:17" x14ac:dyDescent="0.25">
      <c r="D87" s="67"/>
      <c r="E87" s="62"/>
      <c r="F87" s="62"/>
      <c r="G87" s="13"/>
      <c r="H87" s="96"/>
      <c r="I87" s="62"/>
      <c r="J87" s="62"/>
      <c r="K87" s="62"/>
      <c r="L87"/>
    </row>
    <row r="88" spans="1:17" x14ac:dyDescent="0.25">
      <c r="A88" t="s">
        <v>387</v>
      </c>
      <c r="D88" s="67"/>
      <c r="E88" s="62"/>
      <c r="F88" s="62"/>
      <c r="G88" s="13"/>
      <c r="H88" s="96"/>
      <c r="I88" t="s">
        <v>387</v>
      </c>
      <c r="L88" s="67"/>
    </row>
    <row r="89" spans="1:17" x14ac:dyDescent="0.25">
      <c r="A89" t="s">
        <v>388</v>
      </c>
      <c r="D89" s="67"/>
      <c r="E89" s="62"/>
      <c r="F89" s="62"/>
      <c r="G89" s="13"/>
      <c r="H89" s="96"/>
      <c r="I89" s="64" t="s">
        <v>390</v>
      </c>
      <c r="L89" s="67"/>
    </row>
    <row r="90" spans="1:17" x14ac:dyDescent="0.25">
      <c r="D90" s="67"/>
      <c r="E90" s="62"/>
      <c r="F90" s="62"/>
      <c r="G90" s="13"/>
      <c r="H90" s="96"/>
      <c r="I90"/>
      <c r="L90" s="67"/>
    </row>
    <row r="91" spans="1:17" x14ac:dyDescent="0.25">
      <c r="A91" s="587"/>
      <c r="B91" s="587" t="s">
        <v>389</v>
      </c>
      <c r="C91" s="64" t="s">
        <v>113</v>
      </c>
      <c r="D91" s="593" t="s">
        <v>202</v>
      </c>
      <c r="E91" s="588"/>
      <c r="F91" s="588"/>
      <c r="G91" s="589"/>
      <c r="H91" s="590"/>
      <c r="I91" s="587"/>
      <c r="J91" s="587" t="s">
        <v>389</v>
      </c>
      <c r="K91" s="64" t="s">
        <v>113</v>
      </c>
      <c r="L91" s="593" t="s">
        <v>202</v>
      </c>
      <c r="M91" s="587"/>
      <c r="N91" s="587"/>
      <c r="O91" s="587"/>
      <c r="P91" s="587"/>
      <c r="Q91" s="587"/>
    </row>
    <row r="92" spans="1:17" x14ac:dyDescent="0.25">
      <c r="A92" s="599">
        <v>0</v>
      </c>
      <c r="B92" s="66">
        <f>K45</f>
        <v>915</v>
      </c>
      <c r="C92" s="65">
        <f>J45</f>
        <v>676.28</v>
      </c>
      <c r="D92" s="603">
        <f>+B92-C92</f>
        <v>238.72000000000003</v>
      </c>
      <c r="E92" s="588"/>
      <c r="F92" s="588"/>
      <c r="G92" s="589"/>
      <c r="H92" s="590"/>
      <c r="I92" s="599">
        <v>0</v>
      </c>
      <c r="J92" s="66">
        <f>K33</f>
        <v>771</v>
      </c>
      <c r="K92" s="65">
        <f>J33</f>
        <v>558.50999999999988</v>
      </c>
      <c r="L92" s="603">
        <f>+J92-K92</f>
        <v>212.49000000000012</v>
      </c>
      <c r="M92" s="587"/>
      <c r="N92" s="587"/>
      <c r="O92" s="587"/>
      <c r="P92" s="587"/>
      <c r="Q92" s="587"/>
    </row>
    <row r="93" spans="1:17" x14ac:dyDescent="0.25">
      <c r="A93" s="596">
        <v>0.1</v>
      </c>
      <c r="B93" s="66">
        <f>0.9*B92</f>
        <v>823.5</v>
      </c>
      <c r="C93" s="65">
        <f>C92</f>
        <v>676.28</v>
      </c>
      <c r="D93" s="603">
        <f t="shared" ref="D93:D96" si="3">+B93-C93</f>
        <v>147.22000000000003</v>
      </c>
      <c r="E93" s="225"/>
      <c r="F93" s="225"/>
      <c r="G93" s="591"/>
      <c r="H93" s="592"/>
      <c r="I93" s="596">
        <v>0.1</v>
      </c>
      <c r="J93" s="66">
        <f>0.9*J92</f>
        <v>693.9</v>
      </c>
      <c r="K93" s="65">
        <f>K92</f>
        <v>558.50999999999988</v>
      </c>
      <c r="L93" s="603">
        <f t="shared" ref="L93:L96" si="4">+J93-K93</f>
        <v>135.3900000000001</v>
      </c>
      <c r="M93" s="64"/>
      <c r="N93" s="64"/>
      <c r="O93" s="64"/>
      <c r="P93" s="64"/>
      <c r="Q93" s="64"/>
    </row>
    <row r="94" spans="1:17" x14ac:dyDescent="0.25">
      <c r="A94" s="597">
        <v>0.15</v>
      </c>
      <c r="B94" s="66">
        <f>+B92*0.85</f>
        <v>777.75</v>
      </c>
      <c r="C94" s="65">
        <f t="shared" ref="C94:C96" si="5">C93</f>
        <v>676.28</v>
      </c>
      <c r="D94" s="603">
        <f t="shared" si="3"/>
        <v>101.47000000000003</v>
      </c>
      <c r="E94" s="498"/>
      <c r="F94" s="498"/>
      <c r="G94" s="594"/>
      <c r="H94" s="595"/>
      <c r="I94" s="597">
        <v>0.15</v>
      </c>
      <c r="J94" s="66">
        <f>+J92*0.85</f>
        <v>655.35</v>
      </c>
      <c r="K94" s="65">
        <f t="shared" ref="K94:K96" si="6">K93</f>
        <v>558.50999999999988</v>
      </c>
      <c r="L94" s="603">
        <f t="shared" si="4"/>
        <v>96.840000000000146</v>
      </c>
      <c r="M94" s="507"/>
      <c r="N94" s="507"/>
      <c r="O94" s="507"/>
      <c r="P94" s="507"/>
      <c r="Q94" s="507"/>
    </row>
    <row r="95" spans="1:17" x14ac:dyDescent="0.25">
      <c r="A95" s="598">
        <v>0.2</v>
      </c>
      <c r="B95" s="66">
        <f>0.8*B92</f>
        <v>732</v>
      </c>
      <c r="C95" s="65">
        <f t="shared" si="5"/>
        <v>676.28</v>
      </c>
      <c r="D95" s="604">
        <f t="shared" si="3"/>
        <v>55.720000000000027</v>
      </c>
      <c r="E95" s="62"/>
      <c r="F95" s="62"/>
      <c r="G95" s="13"/>
      <c r="H95" s="96"/>
      <c r="I95" s="598">
        <v>0.2</v>
      </c>
      <c r="J95" s="66">
        <f>0.8*J92</f>
        <v>616.80000000000007</v>
      </c>
      <c r="K95" s="65">
        <f t="shared" si="6"/>
        <v>558.50999999999988</v>
      </c>
      <c r="L95" s="604">
        <f t="shared" si="4"/>
        <v>58.290000000000191</v>
      </c>
    </row>
    <row r="96" spans="1:17" x14ac:dyDescent="0.25">
      <c r="A96" s="598">
        <v>0.25</v>
      </c>
      <c r="B96" s="66">
        <f>0.75*B92</f>
        <v>686.25</v>
      </c>
      <c r="C96" s="65">
        <f t="shared" si="5"/>
        <v>676.28</v>
      </c>
      <c r="D96" s="604">
        <f t="shared" si="3"/>
        <v>9.9700000000000273</v>
      </c>
      <c r="E96" s="62"/>
      <c r="F96" s="62"/>
      <c r="G96" s="13"/>
      <c r="H96" s="96"/>
      <c r="I96" s="598">
        <v>0.25</v>
      </c>
      <c r="J96" s="66">
        <f>0.755*J92</f>
        <v>582.10500000000002</v>
      </c>
      <c r="K96" s="65">
        <f t="shared" si="6"/>
        <v>558.50999999999988</v>
      </c>
      <c r="L96" s="604">
        <f t="shared" si="4"/>
        <v>23.595000000000141</v>
      </c>
    </row>
  </sheetData>
  <dataValidations count="2">
    <dataValidation type="list" allowBlank="1" showInputMessage="1" showErrorMessage="1" sqref="B16:B19" xr:uid="{F851F8C3-298F-4451-8A41-D5B9DEDA60A2}">
      <formula1>$O$1:$O$3</formula1>
    </dataValidation>
    <dataValidation type="list" allowBlank="1" showInputMessage="1" showErrorMessage="1" sqref="B29:B32 B41:B44 B53:B56" xr:uid="{860E96F0-E8FB-49B5-BE8E-9C16E3A36A4D}">
      <formula1>$N$1:$N$3</formula1>
    </dataValidation>
  </dataValidations>
  <pageMargins left="0.7" right="0.7" top="0.75" bottom="0.75" header="0.3" footer="0.3"/>
  <pageSetup scale="53" fitToHeight="1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81E31-E6E6-44B8-A93A-3A9CFD6B09F3}">
  <sheetPr codeName="Sheet30">
    <pageSetUpPr fitToPage="1"/>
  </sheetPr>
  <dimension ref="A1:AG52"/>
  <sheetViews>
    <sheetView zoomScale="95" zoomScaleNormal="95" workbookViewId="0">
      <selection activeCell="H28" sqref="H28"/>
    </sheetView>
  </sheetViews>
  <sheetFormatPr defaultRowHeight="15.75" x14ac:dyDescent="0.25"/>
  <cols>
    <col min="2" max="2" width="10.125" bestFit="1" customWidth="1"/>
    <col min="3" max="3" width="8.75" bestFit="1" customWidth="1"/>
    <col min="4" max="4" width="9.125" style="628" bestFit="1" customWidth="1"/>
    <col min="5" max="5" width="2.375" style="608" customWidth="1"/>
    <col min="6" max="6" width="10.625" customWidth="1"/>
    <col min="7" max="8" width="8.75" bestFit="1" customWidth="1"/>
    <col min="9" max="9" width="2" style="608" customWidth="1"/>
    <col min="10" max="11" width="8.625" bestFit="1" customWidth="1"/>
    <col min="13" max="13" width="2" style="608" customWidth="1"/>
    <col min="14" max="15" width="8.625" bestFit="1" customWidth="1"/>
    <col min="17" max="17" width="2" style="608" customWidth="1"/>
    <col min="18" max="19" width="8.625" bestFit="1" customWidth="1"/>
    <col min="21" max="21" width="2" style="379" customWidth="1"/>
    <col min="22" max="22" width="10.125" bestFit="1" customWidth="1"/>
    <col min="23" max="23" width="8.625" bestFit="1" customWidth="1"/>
    <col min="25" max="25" width="2" style="379" customWidth="1"/>
    <col min="26" max="27" width="8.625" bestFit="1" customWidth="1"/>
    <col min="29" max="29" width="2" style="608" customWidth="1"/>
  </cols>
  <sheetData>
    <row r="1" spans="1:29" x14ac:dyDescent="0.25">
      <c r="A1" s="606" t="s">
        <v>391</v>
      </c>
      <c r="B1" s="606"/>
      <c r="C1" s="606"/>
      <c r="D1" s="607"/>
      <c r="E1" s="606"/>
    </row>
    <row r="2" spans="1:29" x14ac:dyDescent="0.25">
      <c r="A2" s="606" t="s">
        <v>392</v>
      </c>
      <c r="B2" s="606"/>
      <c r="C2" s="606"/>
      <c r="D2" s="607"/>
    </row>
    <row r="3" spans="1:29" s="609" customFormat="1" ht="15" x14ac:dyDescent="0.25">
      <c r="B3" s="609" t="s">
        <v>10</v>
      </c>
      <c r="D3" s="610" t="s">
        <v>393</v>
      </c>
      <c r="E3" s="611"/>
      <c r="F3" s="609" t="s">
        <v>111</v>
      </c>
      <c r="H3" s="610" t="s">
        <v>393</v>
      </c>
      <c r="I3" s="611"/>
      <c r="J3" s="609" t="s">
        <v>394</v>
      </c>
      <c r="L3" s="610" t="s">
        <v>393</v>
      </c>
      <c r="M3" s="611"/>
      <c r="N3" s="609" t="s">
        <v>231</v>
      </c>
      <c r="P3" s="610" t="s">
        <v>393</v>
      </c>
      <c r="Q3" s="611"/>
      <c r="R3" s="609" t="s">
        <v>395</v>
      </c>
      <c r="T3" s="610" t="s">
        <v>393</v>
      </c>
      <c r="U3" s="612"/>
      <c r="Y3" s="612"/>
      <c r="AC3" s="611"/>
    </row>
    <row r="4" spans="1:29" s="616" customFormat="1" x14ac:dyDescent="0.25">
      <c r="A4" s="613"/>
      <c r="B4" s="587" t="s">
        <v>389</v>
      </c>
      <c r="C4" s="64" t="s">
        <v>113</v>
      </c>
      <c r="D4" s="593" t="s">
        <v>202</v>
      </c>
      <c r="E4" s="614"/>
      <c r="F4" s="587" t="s">
        <v>389</v>
      </c>
      <c r="G4" s="64" t="s">
        <v>113</v>
      </c>
      <c r="H4" s="593" t="s">
        <v>202</v>
      </c>
      <c r="I4" s="614"/>
      <c r="J4" s="587" t="s">
        <v>389</v>
      </c>
      <c r="K4" s="64" t="s">
        <v>113</v>
      </c>
      <c r="L4" s="593" t="s">
        <v>202</v>
      </c>
      <c r="M4" s="614"/>
      <c r="N4" s="587" t="s">
        <v>389</v>
      </c>
      <c r="O4" s="64" t="s">
        <v>113</v>
      </c>
      <c r="P4" s="593" t="s">
        <v>202</v>
      </c>
      <c r="Q4" s="614"/>
      <c r="R4" s="587" t="s">
        <v>389</v>
      </c>
      <c r="S4" s="64" t="s">
        <v>113</v>
      </c>
      <c r="T4" s="593" t="s">
        <v>202</v>
      </c>
      <c r="U4" s="615"/>
      <c r="Y4" s="615"/>
      <c r="AC4" s="614"/>
    </row>
    <row r="5" spans="1:29" s="620" customFormat="1" x14ac:dyDescent="0.25">
      <c r="A5" s="617">
        <v>0</v>
      </c>
      <c r="B5" s="66">
        <f>'DSIP 5mg'!B130</f>
        <v>438</v>
      </c>
      <c r="C5" s="65">
        <v>156.63999999999999</v>
      </c>
      <c r="D5" s="603">
        <f>+B5-C5</f>
        <v>281.36</v>
      </c>
      <c r="E5" s="618"/>
      <c r="F5" s="66">
        <f>'DSIP 10mg'!B91</f>
        <v>139</v>
      </c>
      <c r="G5" s="65">
        <v>54.85</v>
      </c>
      <c r="H5" s="603">
        <f>+F5-G5</f>
        <v>84.15</v>
      </c>
      <c r="I5" s="618"/>
      <c r="J5" s="66">
        <f>'GHK-CU 50'!B91</f>
        <v>183</v>
      </c>
      <c r="K5" s="65">
        <v>70.900000000000006</v>
      </c>
      <c r="L5" s="603">
        <f>+J5-K5</f>
        <v>112.1</v>
      </c>
      <c r="M5" s="618"/>
      <c r="N5" s="66">
        <f>'Glow 70'!B71</f>
        <v>209</v>
      </c>
      <c r="O5" s="65">
        <v>118.73</v>
      </c>
      <c r="P5" s="603">
        <f>+N5-O5</f>
        <v>90.27</v>
      </c>
      <c r="Q5" s="618"/>
      <c r="R5" s="66">
        <f>Kissp!B91</f>
        <v>95</v>
      </c>
      <c r="S5" s="65">
        <v>38.25</v>
      </c>
      <c r="T5" s="603">
        <f>+R5-S5</f>
        <v>56.75</v>
      </c>
      <c r="U5" s="619"/>
      <c r="Y5" s="619"/>
      <c r="AC5" s="618"/>
    </row>
    <row r="6" spans="1:29" s="565" customFormat="1" x14ac:dyDescent="0.25">
      <c r="A6" s="617">
        <v>0.1</v>
      </c>
      <c r="B6" s="66">
        <f>0.9*B5</f>
        <v>394.2</v>
      </c>
      <c r="C6" s="65">
        <f>C5</f>
        <v>156.63999999999999</v>
      </c>
      <c r="D6" s="603">
        <f t="shared" ref="D6:D9" si="0">+B6-C6</f>
        <v>237.56</v>
      </c>
      <c r="E6" s="621"/>
      <c r="F6" s="66">
        <f>0.9*F5</f>
        <v>125.10000000000001</v>
      </c>
      <c r="G6" s="65">
        <f>G5</f>
        <v>54.85</v>
      </c>
      <c r="H6" s="603">
        <f t="shared" ref="H6:H9" si="1">+F6-G6</f>
        <v>70.25</v>
      </c>
      <c r="I6" s="621"/>
      <c r="J6" s="66">
        <f>0.9*J5</f>
        <v>164.70000000000002</v>
      </c>
      <c r="K6" s="65">
        <f>K5</f>
        <v>70.900000000000006</v>
      </c>
      <c r="L6" s="603">
        <f t="shared" ref="L6:L9" si="2">+J6-K6</f>
        <v>93.800000000000011</v>
      </c>
      <c r="M6" s="621"/>
      <c r="N6" s="66">
        <f>0.9*N5</f>
        <v>188.1</v>
      </c>
      <c r="O6" s="65">
        <f>O5</f>
        <v>118.73</v>
      </c>
      <c r="P6" s="603">
        <f t="shared" ref="P6:P9" si="3">+N6-O6</f>
        <v>69.36999999999999</v>
      </c>
      <c r="Q6" s="621"/>
      <c r="R6" s="66">
        <f>0.9*R5</f>
        <v>85.5</v>
      </c>
      <c r="S6" s="65">
        <f>S5</f>
        <v>38.25</v>
      </c>
      <c r="T6" s="603">
        <f t="shared" ref="T6:T9" si="4">+R6-S6</f>
        <v>47.25</v>
      </c>
      <c r="U6" s="622"/>
      <c r="Y6" s="622"/>
      <c r="AC6" s="621"/>
    </row>
    <row r="7" spans="1:29" x14ac:dyDescent="0.25">
      <c r="A7" s="617">
        <v>0.15</v>
      </c>
      <c r="B7" s="66">
        <f>+B5*0.85</f>
        <v>372.3</v>
      </c>
      <c r="C7" s="65">
        <f t="shared" ref="C7:C9" si="5">C6</f>
        <v>156.63999999999999</v>
      </c>
      <c r="D7" s="603">
        <f t="shared" si="0"/>
        <v>215.66000000000003</v>
      </c>
      <c r="E7" s="623"/>
      <c r="F7" s="66">
        <f>+F5*0.85</f>
        <v>118.14999999999999</v>
      </c>
      <c r="G7" s="65">
        <f t="shared" ref="G7:G9" si="6">G6</f>
        <v>54.85</v>
      </c>
      <c r="H7" s="603">
        <f t="shared" si="1"/>
        <v>63.29999999999999</v>
      </c>
      <c r="I7" s="623"/>
      <c r="J7" s="66">
        <f>+J5*0.85</f>
        <v>155.54999999999998</v>
      </c>
      <c r="K7" s="65">
        <f t="shared" ref="K7:K9" si="7">K6</f>
        <v>70.900000000000006</v>
      </c>
      <c r="L7" s="603">
        <f t="shared" si="2"/>
        <v>84.649999999999977</v>
      </c>
      <c r="M7" s="623"/>
      <c r="N7" s="66">
        <f>+N5*0.85</f>
        <v>177.65</v>
      </c>
      <c r="O7" s="65">
        <f t="shared" ref="O7:O9" si="8">O6</f>
        <v>118.73</v>
      </c>
      <c r="P7" s="603">
        <f t="shared" si="3"/>
        <v>58.92</v>
      </c>
      <c r="Q7" s="623"/>
      <c r="R7" s="66">
        <f>+R5*0.85</f>
        <v>80.75</v>
      </c>
      <c r="S7" s="65">
        <f t="shared" ref="S7:S9" si="9">S6</f>
        <v>38.25</v>
      </c>
      <c r="T7" s="603">
        <f t="shared" si="4"/>
        <v>42.5</v>
      </c>
      <c r="AC7" s="623"/>
    </row>
    <row r="8" spans="1:29" x14ac:dyDescent="0.25">
      <c r="A8" s="598">
        <v>0.2</v>
      </c>
      <c r="B8" s="66">
        <f>0.8*B5</f>
        <v>350.40000000000003</v>
      </c>
      <c r="C8" s="65">
        <f t="shared" si="5"/>
        <v>156.63999999999999</v>
      </c>
      <c r="D8" s="604">
        <f t="shared" si="0"/>
        <v>193.76000000000005</v>
      </c>
      <c r="E8" s="623"/>
      <c r="F8" s="66">
        <f>0.8*F5</f>
        <v>111.2</v>
      </c>
      <c r="G8" s="65">
        <f t="shared" si="6"/>
        <v>54.85</v>
      </c>
      <c r="H8" s="604">
        <f t="shared" si="1"/>
        <v>56.35</v>
      </c>
      <c r="I8" s="623"/>
      <c r="J8" s="66">
        <f>0.8*J5</f>
        <v>146.4</v>
      </c>
      <c r="K8" s="65">
        <f t="shared" si="7"/>
        <v>70.900000000000006</v>
      </c>
      <c r="L8" s="604">
        <f t="shared" si="2"/>
        <v>75.5</v>
      </c>
      <c r="M8" s="623"/>
      <c r="N8" s="66">
        <f>0.8*N5</f>
        <v>167.20000000000002</v>
      </c>
      <c r="O8" s="65">
        <f t="shared" si="8"/>
        <v>118.73</v>
      </c>
      <c r="P8" s="604">
        <f t="shared" si="3"/>
        <v>48.470000000000013</v>
      </c>
      <c r="Q8" s="623"/>
      <c r="R8" s="66">
        <f>0.8*R5</f>
        <v>76</v>
      </c>
      <c r="S8" s="65">
        <f t="shared" si="9"/>
        <v>38.25</v>
      </c>
      <c r="T8" s="604">
        <f t="shared" si="4"/>
        <v>37.75</v>
      </c>
      <c r="AC8" s="623"/>
    </row>
    <row r="9" spans="1:29" x14ac:dyDescent="0.25">
      <c r="A9" s="598">
        <v>0.25</v>
      </c>
      <c r="B9" s="66">
        <f>0.75*B5</f>
        <v>328.5</v>
      </c>
      <c r="C9" s="65">
        <f t="shared" si="5"/>
        <v>156.63999999999999</v>
      </c>
      <c r="D9" s="604">
        <f t="shared" si="0"/>
        <v>171.86</v>
      </c>
      <c r="E9" s="623"/>
      <c r="F9" s="66">
        <f>0.75*F5</f>
        <v>104.25</v>
      </c>
      <c r="G9" s="65">
        <f t="shared" si="6"/>
        <v>54.85</v>
      </c>
      <c r="H9" s="604">
        <f t="shared" si="1"/>
        <v>49.4</v>
      </c>
      <c r="I9" s="623"/>
      <c r="J9" s="66">
        <f>0.75*J5</f>
        <v>137.25</v>
      </c>
      <c r="K9" s="65">
        <f t="shared" si="7"/>
        <v>70.900000000000006</v>
      </c>
      <c r="L9" s="604">
        <f t="shared" si="2"/>
        <v>66.349999999999994</v>
      </c>
      <c r="M9" s="623"/>
      <c r="N9" s="66">
        <f>0.75*N5</f>
        <v>156.75</v>
      </c>
      <c r="O9" s="65">
        <f t="shared" si="8"/>
        <v>118.73</v>
      </c>
      <c r="P9" s="604">
        <f t="shared" si="3"/>
        <v>38.019999999999996</v>
      </c>
      <c r="Q9" s="623"/>
      <c r="R9" s="66">
        <f>0.75*R5</f>
        <v>71.25</v>
      </c>
      <c r="S9" s="65">
        <f t="shared" si="9"/>
        <v>38.25</v>
      </c>
      <c r="T9" s="604">
        <f t="shared" si="4"/>
        <v>33</v>
      </c>
      <c r="AC9" s="623"/>
    </row>
    <row r="10" spans="1:29" s="608" customFormat="1" x14ac:dyDescent="0.25">
      <c r="D10" s="624"/>
      <c r="U10" s="379"/>
      <c r="Y10" s="379"/>
    </row>
    <row r="11" spans="1:29" s="608" customFormat="1" x14ac:dyDescent="0.25">
      <c r="D11" s="624"/>
      <c r="U11" s="379"/>
      <c r="Y11" s="379"/>
    </row>
    <row r="12" spans="1:29" s="609" customFormat="1" ht="15" x14ac:dyDescent="0.25">
      <c r="B12" s="609" t="s">
        <v>23</v>
      </c>
      <c r="D12" s="610" t="s">
        <v>393</v>
      </c>
      <c r="E12" s="611"/>
      <c r="F12" s="609" t="s">
        <v>290</v>
      </c>
      <c r="H12" s="610" t="s">
        <v>393</v>
      </c>
      <c r="I12" s="611"/>
      <c r="J12" s="609" t="s">
        <v>396</v>
      </c>
      <c r="L12" s="610" t="s">
        <v>393</v>
      </c>
      <c r="M12" s="612"/>
      <c r="N12" s="609" t="s">
        <v>397</v>
      </c>
      <c r="Q12" s="611"/>
      <c r="U12" s="612"/>
      <c r="Y12" s="612"/>
      <c r="AC12" s="611"/>
    </row>
    <row r="13" spans="1:29" x14ac:dyDescent="0.25">
      <c r="B13" s="587" t="s">
        <v>389</v>
      </c>
      <c r="C13" s="64" t="s">
        <v>113</v>
      </c>
      <c r="D13" s="593" t="s">
        <v>202</v>
      </c>
      <c r="F13" s="587" t="s">
        <v>389</v>
      </c>
      <c r="G13" s="64" t="s">
        <v>113</v>
      </c>
      <c r="H13" s="593" t="s">
        <v>202</v>
      </c>
      <c r="J13" s="587" t="s">
        <v>389</v>
      </c>
      <c r="K13" s="64" t="s">
        <v>113</v>
      </c>
      <c r="L13" s="593" t="s">
        <v>202</v>
      </c>
      <c r="M13" s="379"/>
      <c r="N13" s="587" t="s">
        <v>389</v>
      </c>
      <c r="O13" s="64" t="s">
        <v>113</v>
      </c>
      <c r="P13" s="593" t="s">
        <v>202</v>
      </c>
    </row>
    <row r="14" spans="1:29" x14ac:dyDescent="0.25">
      <c r="A14" s="617">
        <v>0</v>
      </c>
      <c r="B14" s="66">
        <f>'KLOW 80'!B94</f>
        <v>341</v>
      </c>
      <c r="C14" s="65">
        <v>200.62</v>
      </c>
      <c r="D14" s="603">
        <f>+B14-C14</f>
        <v>140.38</v>
      </c>
      <c r="F14" s="66">
        <f>'MotsC 10'!B95</f>
        <v>458</v>
      </c>
      <c r="G14" s="65">
        <v>177.24</v>
      </c>
      <c r="H14" s="603">
        <f>+F14-G14</f>
        <v>280.76</v>
      </c>
      <c r="J14" s="66">
        <f>'BPC157'!B92</f>
        <v>280</v>
      </c>
      <c r="K14" s="65">
        <v>111.38</v>
      </c>
      <c r="L14" s="603">
        <f>+J14-K14</f>
        <v>168.62</v>
      </c>
      <c r="M14" s="379"/>
      <c r="N14" s="66"/>
      <c r="O14" s="65"/>
      <c r="P14" s="603"/>
    </row>
    <row r="15" spans="1:29" x14ac:dyDescent="0.25">
      <c r="A15" s="617">
        <v>0.1</v>
      </c>
      <c r="B15" s="66">
        <f>0.9*B14</f>
        <v>306.90000000000003</v>
      </c>
      <c r="C15" s="65">
        <f>C14</f>
        <v>200.62</v>
      </c>
      <c r="D15" s="603">
        <f t="shared" ref="D15:D18" si="10">+B15-C15</f>
        <v>106.28000000000003</v>
      </c>
      <c r="F15" s="66">
        <f>0.9*F14</f>
        <v>412.2</v>
      </c>
      <c r="G15" s="65">
        <f>G14</f>
        <v>177.24</v>
      </c>
      <c r="H15" s="603">
        <f t="shared" ref="H15:H18" si="11">+F15-G15</f>
        <v>234.95999999999998</v>
      </c>
      <c r="J15" s="66">
        <f>0.9*J14</f>
        <v>252</v>
      </c>
      <c r="K15" s="65">
        <f>K14</f>
        <v>111.38</v>
      </c>
      <c r="L15" s="603">
        <f t="shared" ref="L15:L18" si="12">+J15-K15</f>
        <v>140.62</v>
      </c>
      <c r="M15" s="379"/>
      <c r="N15" s="66" t="s">
        <v>398</v>
      </c>
      <c r="O15" s="65"/>
      <c r="P15" s="603"/>
    </row>
    <row r="16" spans="1:29" x14ac:dyDescent="0.25">
      <c r="A16" s="617">
        <v>0.15</v>
      </c>
      <c r="B16" s="66">
        <f>+B14*0.85</f>
        <v>289.84999999999997</v>
      </c>
      <c r="C16" s="65">
        <f t="shared" ref="C16:C18" si="13">C15</f>
        <v>200.62</v>
      </c>
      <c r="D16" s="603">
        <f t="shared" si="10"/>
        <v>89.229999999999961</v>
      </c>
      <c r="F16" s="66">
        <f>+F14*0.85</f>
        <v>389.3</v>
      </c>
      <c r="G16" s="65">
        <f t="shared" ref="G16:G18" si="14">G15</f>
        <v>177.24</v>
      </c>
      <c r="H16" s="603">
        <f t="shared" si="11"/>
        <v>212.06</v>
      </c>
      <c r="J16" s="66">
        <f>+J14*0.85</f>
        <v>238</v>
      </c>
      <c r="K16" s="65">
        <f t="shared" ref="K16:K18" si="15">K15</f>
        <v>111.38</v>
      </c>
      <c r="L16" s="603">
        <f t="shared" si="12"/>
        <v>126.62</v>
      </c>
      <c r="M16" s="379"/>
    </row>
    <row r="17" spans="1:33" x14ac:dyDescent="0.25">
      <c r="A17" s="598">
        <v>0.2</v>
      </c>
      <c r="B17" s="66">
        <f>0.8*B14</f>
        <v>272.8</v>
      </c>
      <c r="C17" s="65">
        <f t="shared" si="13"/>
        <v>200.62</v>
      </c>
      <c r="D17" s="604">
        <f t="shared" si="10"/>
        <v>72.180000000000007</v>
      </c>
      <c r="F17" s="66">
        <f>0.8*F14</f>
        <v>366.40000000000003</v>
      </c>
      <c r="G17" s="65">
        <f t="shared" si="14"/>
        <v>177.24</v>
      </c>
      <c r="H17" s="604">
        <f t="shared" si="11"/>
        <v>189.16000000000003</v>
      </c>
      <c r="J17" s="66">
        <f>0.8*J14</f>
        <v>224</v>
      </c>
      <c r="K17" s="65">
        <f t="shared" si="15"/>
        <v>111.38</v>
      </c>
      <c r="L17" s="604">
        <f t="shared" si="12"/>
        <v>112.62</v>
      </c>
      <c r="M17" s="379"/>
    </row>
    <row r="18" spans="1:33" x14ac:dyDescent="0.25">
      <c r="A18" s="598">
        <v>0.25</v>
      </c>
      <c r="B18" s="66">
        <f>0.75*B14</f>
        <v>255.75</v>
      </c>
      <c r="C18" s="65">
        <f t="shared" si="13"/>
        <v>200.62</v>
      </c>
      <c r="D18" s="604">
        <f t="shared" si="10"/>
        <v>55.129999999999995</v>
      </c>
      <c r="F18" s="66">
        <f>0.75*F14</f>
        <v>343.5</v>
      </c>
      <c r="G18" s="65">
        <f t="shared" si="14"/>
        <v>177.24</v>
      </c>
      <c r="H18" s="604">
        <f t="shared" si="11"/>
        <v>166.26</v>
      </c>
      <c r="J18" s="66">
        <f>0.75*J14</f>
        <v>210</v>
      </c>
      <c r="K18" s="65">
        <f t="shared" si="15"/>
        <v>111.38</v>
      </c>
      <c r="L18" s="604">
        <f t="shared" si="12"/>
        <v>98.62</v>
      </c>
      <c r="M18" s="379"/>
    </row>
    <row r="19" spans="1:33" s="608" customFormat="1" x14ac:dyDescent="0.25">
      <c r="D19" s="624"/>
      <c r="U19" s="379"/>
      <c r="Y19" s="379"/>
    </row>
    <row r="20" spans="1:33" s="608" customFormat="1" x14ac:dyDescent="0.25">
      <c r="D20" s="624"/>
      <c r="U20" s="379"/>
      <c r="Y20" s="379"/>
    </row>
    <row r="21" spans="1:33" s="609" customFormat="1" ht="15" x14ac:dyDescent="0.25">
      <c r="B21" s="609" t="s">
        <v>399</v>
      </c>
      <c r="D21" s="610" t="s">
        <v>393</v>
      </c>
      <c r="E21" s="611"/>
      <c r="F21" s="609" t="s">
        <v>400</v>
      </c>
      <c r="H21" s="610" t="s">
        <v>393</v>
      </c>
      <c r="I21" s="611"/>
      <c r="J21" s="609" t="s">
        <v>401</v>
      </c>
      <c r="L21" s="610" t="s">
        <v>393</v>
      </c>
      <c r="M21" s="611"/>
      <c r="N21" s="609" t="s">
        <v>402</v>
      </c>
      <c r="P21" s="610" t="s">
        <v>393</v>
      </c>
      <c r="Q21" s="611"/>
      <c r="R21" s="609" t="s">
        <v>403</v>
      </c>
      <c r="T21" s="610" t="s">
        <v>393</v>
      </c>
      <c r="U21" s="612"/>
      <c r="V21" s="609" t="s">
        <v>404</v>
      </c>
      <c r="X21" s="610" t="s">
        <v>393</v>
      </c>
      <c r="AC21" s="611"/>
    </row>
    <row r="22" spans="1:33" x14ac:dyDescent="0.25">
      <c r="B22" s="587" t="s">
        <v>389</v>
      </c>
      <c r="C22" s="64" t="s">
        <v>113</v>
      </c>
      <c r="D22" s="593" t="s">
        <v>202</v>
      </c>
      <c r="F22" s="587" t="s">
        <v>389</v>
      </c>
      <c r="G22" s="64" t="s">
        <v>113</v>
      </c>
      <c r="H22" s="593" t="s">
        <v>202</v>
      </c>
      <c r="J22" s="587" t="s">
        <v>389</v>
      </c>
      <c r="K22" s="64" t="s">
        <v>113</v>
      </c>
      <c r="L22" s="593" t="s">
        <v>202</v>
      </c>
      <c r="N22" s="587" t="s">
        <v>389</v>
      </c>
      <c r="O22" s="64" t="s">
        <v>113</v>
      </c>
      <c r="P22" s="593" t="s">
        <v>202</v>
      </c>
      <c r="R22" s="587" t="s">
        <v>389</v>
      </c>
      <c r="S22" s="64" t="s">
        <v>113</v>
      </c>
      <c r="T22" s="593" t="s">
        <v>202</v>
      </c>
      <c r="V22" s="587" t="s">
        <v>389</v>
      </c>
      <c r="W22" s="64" t="s">
        <v>113</v>
      </c>
      <c r="X22" s="625" t="s">
        <v>202</v>
      </c>
    </row>
    <row r="23" spans="1:33" x14ac:dyDescent="0.25">
      <c r="A23" s="617">
        <v>0</v>
      </c>
      <c r="B23" s="66">
        <f>'Tesam 10'!B92</f>
        <v>747</v>
      </c>
      <c r="C23" s="65">
        <v>536.28</v>
      </c>
      <c r="D23" s="603">
        <f>+B23-C23</f>
        <v>210.72000000000003</v>
      </c>
      <c r="F23" s="66">
        <f>Epithalon!B67</f>
        <v>1400</v>
      </c>
      <c r="G23" s="65">
        <v>983.3</v>
      </c>
      <c r="H23" s="603">
        <f>+F23-G23</f>
        <v>416.70000000000005</v>
      </c>
      <c r="J23" s="66">
        <f>'SS-31'!B92</f>
        <v>915</v>
      </c>
      <c r="K23" s="65">
        <v>676.28</v>
      </c>
      <c r="L23" s="603">
        <f>+J23-K23</f>
        <v>238.72000000000003</v>
      </c>
      <c r="N23" s="66">
        <f>'ARA290'!B99</f>
        <v>795</v>
      </c>
      <c r="O23" s="65">
        <v>547.12</v>
      </c>
      <c r="P23" s="603">
        <f>+N23-O23</f>
        <v>247.88</v>
      </c>
      <c r="R23" s="66">
        <f>'Tirz 30mg'!B97</f>
        <v>350</v>
      </c>
      <c r="S23" s="65">
        <v>272.3</v>
      </c>
      <c r="T23" s="603">
        <f>+R23-S23</f>
        <v>77.699999999999989</v>
      </c>
      <c r="V23" s="66">
        <f>'GLP-3Re'!B174</f>
        <v>350</v>
      </c>
      <c r="W23" s="65">
        <v>230.44</v>
      </c>
      <c r="X23" s="626">
        <f>+V23-W23</f>
        <v>119.56</v>
      </c>
    </row>
    <row r="24" spans="1:33" x14ac:dyDescent="0.25">
      <c r="A24" s="617">
        <v>0.1</v>
      </c>
      <c r="B24" s="66">
        <f>0.9*B23</f>
        <v>672.30000000000007</v>
      </c>
      <c r="C24" s="65">
        <f>C23</f>
        <v>536.28</v>
      </c>
      <c r="D24" s="603">
        <f>+B24-C24</f>
        <v>136.0200000000001</v>
      </c>
      <c r="F24" s="66">
        <f>0.9*F23</f>
        <v>1260</v>
      </c>
      <c r="G24" s="65">
        <f>G23</f>
        <v>983.3</v>
      </c>
      <c r="H24" s="603">
        <f>+F24-G24</f>
        <v>276.70000000000005</v>
      </c>
      <c r="J24" s="66">
        <f>0.9*J23</f>
        <v>823.5</v>
      </c>
      <c r="K24" s="65">
        <f>K23</f>
        <v>676.28</v>
      </c>
      <c r="L24" s="603">
        <f t="shared" ref="L24:L27" si="16">+J24-K24</f>
        <v>147.22000000000003</v>
      </c>
      <c r="N24" s="66">
        <f>0.9*N23</f>
        <v>715.5</v>
      </c>
      <c r="O24" s="65">
        <f>O23</f>
        <v>547.12</v>
      </c>
      <c r="P24" s="603">
        <f t="shared" ref="P24:P27" si="17">+N24-O24</f>
        <v>168.38</v>
      </c>
      <c r="R24" s="66">
        <f>0.9*R23</f>
        <v>315</v>
      </c>
      <c r="S24" s="65">
        <f>S23</f>
        <v>272.3</v>
      </c>
      <c r="T24" s="603">
        <f t="shared" ref="T24:T27" si="18">+R24-S24</f>
        <v>42.699999999999989</v>
      </c>
      <c r="V24" s="66">
        <f>0.9*V23</f>
        <v>315</v>
      </c>
      <c r="W24" s="65">
        <f>W23</f>
        <v>230.44</v>
      </c>
      <c r="X24" s="626">
        <f t="shared" ref="X24:X27" si="19">+V24-W24</f>
        <v>84.56</v>
      </c>
    </row>
    <row r="25" spans="1:33" x14ac:dyDescent="0.25">
      <c r="A25" s="617">
        <v>0.15</v>
      </c>
      <c r="B25" s="66">
        <f>+B23*0.85</f>
        <v>634.94999999999993</v>
      </c>
      <c r="C25" s="65">
        <f>C24</f>
        <v>536.28</v>
      </c>
      <c r="D25" s="603">
        <f>+B25-C25</f>
        <v>98.669999999999959</v>
      </c>
      <c r="F25" s="66">
        <f>+F23*0.85</f>
        <v>1190</v>
      </c>
      <c r="G25" s="65">
        <f>G24</f>
        <v>983.3</v>
      </c>
      <c r="H25" s="603">
        <f>+F25-G25</f>
        <v>206.70000000000005</v>
      </c>
      <c r="J25" s="66">
        <f>+J23*0.85</f>
        <v>777.75</v>
      </c>
      <c r="K25" s="65">
        <f t="shared" ref="K25:K27" si="20">K24</f>
        <v>676.28</v>
      </c>
      <c r="L25" s="603">
        <f t="shared" si="16"/>
        <v>101.47000000000003</v>
      </c>
      <c r="N25" s="66">
        <f>+N23*0.85</f>
        <v>675.75</v>
      </c>
      <c r="O25" s="65">
        <f t="shared" ref="O25:O27" si="21">O24</f>
        <v>547.12</v>
      </c>
      <c r="P25" s="603">
        <f t="shared" si="17"/>
        <v>128.63</v>
      </c>
      <c r="R25" s="66">
        <f>+R23*0.85</f>
        <v>297.5</v>
      </c>
      <c r="S25" s="65">
        <f t="shared" ref="S25:S27" si="22">S24</f>
        <v>272.3</v>
      </c>
      <c r="T25" s="603">
        <f t="shared" si="18"/>
        <v>25.199999999999989</v>
      </c>
      <c r="V25" s="66">
        <f>+V23*0.85</f>
        <v>297.5</v>
      </c>
      <c r="W25" s="65">
        <f t="shared" ref="W25:W27" si="23">W24</f>
        <v>230.44</v>
      </c>
      <c r="X25" s="626">
        <f t="shared" si="19"/>
        <v>67.06</v>
      </c>
    </row>
    <row r="26" spans="1:33" x14ac:dyDescent="0.25">
      <c r="A26" s="598">
        <v>0.2</v>
      </c>
      <c r="B26" s="66">
        <f>0.8*B23</f>
        <v>597.6</v>
      </c>
      <c r="C26" s="65">
        <f>C25</f>
        <v>536.28</v>
      </c>
      <c r="D26" s="604">
        <f>+B26-C26</f>
        <v>61.32000000000005</v>
      </c>
      <c r="F26" s="66">
        <f>0.8*F23</f>
        <v>1120</v>
      </c>
      <c r="G26" s="65">
        <f>G25</f>
        <v>983.3</v>
      </c>
      <c r="H26" s="604">
        <f>+F26-G26</f>
        <v>136.70000000000005</v>
      </c>
      <c r="J26" s="66">
        <f>0.8*J23</f>
        <v>732</v>
      </c>
      <c r="K26" s="65">
        <f t="shared" si="20"/>
        <v>676.28</v>
      </c>
      <c r="L26" s="604">
        <f t="shared" si="16"/>
        <v>55.720000000000027</v>
      </c>
      <c r="N26" s="66">
        <f>0.8*N23</f>
        <v>636</v>
      </c>
      <c r="O26" s="65">
        <f t="shared" si="21"/>
        <v>547.12</v>
      </c>
      <c r="P26" s="604">
        <f t="shared" si="17"/>
        <v>88.88</v>
      </c>
      <c r="R26" s="66">
        <f>0.8*R23</f>
        <v>280</v>
      </c>
      <c r="S26" s="65">
        <f t="shared" si="22"/>
        <v>272.3</v>
      </c>
      <c r="T26" s="604">
        <f t="shared" si="18"/>
        <v>7.6999999999999886</v>
      </c>
      <c r="V26" s="66">
        <v>280</v>
      </c>
      <c r="W26" s="65">
        <f t="shared" si="23"/>
        <v>230.44</v>
      </c>
      <c r="X26" s="627">
        <f t="shared" si="19"/>
        <v>49.56</v>
      </c>
    </row>
    <row r="27" spans="1:33" x14ac:dyDescent="0.25">
      <c r="A27" s="598">
        <v>0.25</v>
      </c>
      <c r="B27" s="66">
        <f>0.75*B23</f>
        <v>560.25</v>
      </c>
      <c r="C27" s="65">
        <f>C26</f>
        <v>536.28</v>
      </c>
      <c r="D27" s="604">
        <f>+B27-C27</f>
        <v>23.970000000000027</v>
      </c>
      <c r="F27" s="66">
        <f>0.75*F23</f>
        <v>1050</v>
      </c>
      <c r="G27" s="65">
        <f>G26</f>
        <v>983.3</v>
      </c>
      <c r="H27" s="604">
        <f>+F27-G27</f>
        <v>66.700000000000045</v>
      </c>
      <c r="J27" s="66">
        <f>0.75*J23</f>
        <v>686.25</v>
      </c>
      <c r="K27" s="65">
        <f t="shared" si="20"/>
        <v>676.28</v>
      </c>
      <c r="L27" s="604">
        <f t="shared" si="16"/>
        <v>9.9700000000000273</v>
      </c>
      <c r="N27" s="66">
        <f>0.75*N23</f>
        <v>596.25</v>
      </c>
      <c r="O27" s="65">
        <f t="shared" si="21"/>
        <v>547.12</v>
      </c>
      <c r="P27" s="604">
        <f t="shared" si="17"/>
        <v>49.129999999999995</v>
      </c>
      <c r="R27" s="66">
        <f>0.75*R23</f>
        <v>262.5</v>
      </c>
      <c r="S27" s="65">
        <f t="shared" si="22"/>
        <v>272.3</v>
      </c>
      <c r="T27" s="605">
        <f t="shared" si="18"/>
        <v>-9.8000000000000114</v>
      </c>
      <c r="V27" s="66">
        <v>264.25</v>
      </c>
      <c r="W27" s="65">
        <f t="shared" si="23"/>
        <v>230.44</v>
      </c>
      <c r="X27" s="627">
        <f t="shared" si="19"/>
        <v>33.81</v>
      </c>
    </row>
    <row r="28" spans="1:33" s="379" customFormat="1" x14ac:dyDescent="0.25">
      <c r="D28" s="629"/>
    </row>
    <row r="29" spans="1:33" s="379" customFormat="1" x14ac:dyDescent="0.25">
      <c r="D29" s="629"/>
    </row>
    <row r="30" spans="1:33" x14ac:dyDescent="0.25">
      <c r="A30" s="630"/>
      <c r="B30" s="609" t="s">
        <v>405</v>
      </c>
      <c r="C30" s="609"/>
      <c r="D30" s="610" t="s">
        <v>393</v>
      </c>
      <c r="E30" s="611"/>
      <c r="F30" s="609" t="s">
        <v>406</v>
      </c>
      <c r="G30" s="609"/>
      <c r="H30" s="610" t="s">
        <v>393</v>
      </c>
      <c r="I30" s="611"/>
      <c r="J30" s="609" t="s">
        <v>407</v>
      </c>
      <c r="K30" s="609"/>
      <c r="L30" s="610" t="s">
        <v>393</v>
      </c>
      <c r="N30" s="609"/>
      <c r="O30" s="609"/>
      <c r="P30" s="609"/>
      <c r="Q30" s="611"/>
      <c r="R30" s="609" t="s">
        <v>408</v>
      </c>
      <c r="S30" s="609"/>
      <c r="T30" s="610" t="s">
        <v>393</v>
      </c>
      <c r="U30" s="612"/>
      <c r="V30" s="609" t="s">
        <v>409</v>
      </c>
      <c r="W30" s="609"/>
      <c r="X30" s="610" t="s">
        <v>393</v>
      </c>
      <c r="AC30" s="611"/>
      <c r="AD30" s="609"/>
      <c r="AE30" s="609"/>
      <c r="AF30" s="609"/>
      <c r="AG30" s="609"/>
    </row>
    <row r="31" spans="1:33" x14ac:dyDescent="0.25">
      <c r="B31" s="587" t="s">
        <v>389</v>
      </c>
      <c r="C31" s="64" t="s">
        <v>113</v>
      </c>
      <c r="D31" s="593" t="s">
        <v>202</v>
      </c>
      <c r="F31" s="587" t="s">
        <v>389</v>
      </c>
      <c r="G31" s="64" t="s">
        <v>113</v>
      </c>
      <c r="H31" s="593" t="s">
        <v>202</v>
      </c>
      <c r="J31" s="587" t="s">
        <v>389</v>
      </c>
      <c r="K31" s="64" t="s">
        <v>113</v>
      </c>
      <c r="L31" s="593" t="s">
        <v>202</v>
      </c>
      <c r="R31" s="587" t="s">
        <v>389</v>
      </c>
      <c r="S31" s="64" t="s">
        <v>113</v>
      </c>
      <c r="T31" s="593" t="s">
        <v>202</v>
      </c>
      <c r="V31" s="587" t="s">
        <v>389</v>
      </c>
      <c r="W31" s="64" t="s">
        <v>113</v>
      </c>
      <c r="X31" s="593" t="s">
        <v>202</v>
      </c>
    </row>
    <row r="32" spans="1:33" x14ac:dyDescent="0.25">
      <c r="A32" s="617">
        <v>0</v>
      </c>
      <c r="B32" s="66">
        <f>'BPC+TB500'!B97</f>
        <v>376</v>
      </c>
      <c r="C32" s="65">
        <v>235.62</v>
      </c>
      <c r="D32" s="603">
        <f>+B32-C32</f>
        <v>140.38</v>
      </c>
      <c r="F32" s="66">
        <f>'Wolv Slow Tit'!B77</f>
        <v>215</v>
      </c>
      <c r="G32" s="65">
        <v>134.63999999999999</v>
      </c>
      <c r="H32" s="603">
        <f>+F32-G32</f>
        <v>80.360000000000014</v>
      </c>
      <c r="J32" s="66">
        <f>'Wolv Maintenance'!H48</f>
        <v>150</v>
      </c>
      <c r="K32" s="65">
        <v>75.459999999999994</v>
      </c>
      <c r="L32" s="603">
        <f>+J32-K32</f>
        <v>74.540000000000006</v>
      </c>
      <c r="R32" s="66">
        <f>'NAD+ Acute'!B93</f>
        <v>542</v>
      </c>
      <c r="S32" s="65">
        <v>261.24</v>
      </c>
      <c r="T32" s="603">
        <f>+R32-S32</f>
        <v>280.76</v>
      </c>
      <c r="V32" s="66">
        <f>'NAD semiAct'!B78</f>
        <v>310</v>
      </c>
      <c r="W32" s="65">
        <v>155.94999999999999</v>
      </c>
      <c r="X32" s="603">
        <f>+V32-W32</f>
        <v>154.05000000000001</v>
      </c>
    </row>
    <row r="33" spans="1:24" x14ac:dyDescent="0.25">
      <c r="A33" s="617">
        <v>0.1</v>
      </c>
      <c r="B33" s="66">
        <f>0.9*B32</f>
        <v>338.40000000000003</v>
      </c>
      <c r="C33" s="65">
        <f>C32</f>
        <v>235.62</v>
      </c>
      <c r="D33" s="603">
        <f t="shared" ref="D33:D36" si="24">+B33-C33</f>
        <v>102.78000000000003</v>
      </c>
      <c r="F33" s="66">
        <f>0.9*F32</f>
        <v>193.5</v>
      </c>
      <c r="G33" s="65">
        <f>G32</f>
        <v>134.63999999999999</v>
      </c>
      <c r="H33" s="603">
        <f t="shared" ref="H33:H36" si="25">+F33-G33</f>
        <v>58.860000000000014</v>
      </c>
      <c r="J33" s="66">
        <f>0.9*J32</f>
        <v>135</v>
      </c>
      <c r="K33" s="65">
        <f>K32</f>
        <v>75.459999999999994</v>
      </c>
      <c r="L33" s="603">
        <f t="shared" ref="L33:L36" si="26">+J33-K33</f>
        <v>59.540000000000006</v>
      </c>
      <c r="R33" s="66">
        <f>0.9*R32</f>
        <v>487.8</v>
      </c>
      <c r="S33" s="65">
        <f>S32</f>
        <v>261.24</v>
      </c>
      <c r="T33" s="603">
        <f>+R33-S33</f>
        <v>226.56</v>
      </c>
      <c r="V33" s="66">
        <f>0.9*V32</f>
        <v>279</v>
      </c>
      <c r="W33" s="65">
        <f>W32</f>
        <v>155.94999999999999</v>
      </c>
      <c r="X33" s="603">
        <f t="shared" ref="X33:X36" si="27">+V33-W33</f>
        <v>123.05000000000001</v>
      </c>
    </row>
    <row r="34" spans="1:24" x14ac:dyDescent="0.25">
      <c r="A34" s="617">
        <v>0.15</v>
      </c>
      <c r="B34" s="66">
        <f>+B32*0.85</f>
        <v>319.59999999999997</v>
      </c>
      <c r="C34" s="65">
        <f t="shared" ref="C34:C36" si="28">C33</f>
        <v>235.62</v>
      </c>
      <c r="D34" s="603">
        <f t="shared" si="24"/>
        <v>83.979999999999961</v>
      </c>
      <c r="F34" s="66">
        <f>+F32*0.85</f>
        <v>182.75</v>
      </c>
      <c r="G34" s="65">
        <f t="shared" ref="G34:G36" si="29">G33</f>
        <v>134.63999999999999</v>
      </c>
      <c r="H34" s="603">
        <f t="shared" si="25"/>
        <v>48.110000000000014</v>
      </c>
      <c r="J34" s="66">
        <f>+J32*0.85</f>
        <v>127.5</v>
      </c>
      <c r="K34" s="65">
        <f t="shared" ref="K34:K36" si="30">K33</f>
        <v>75.459999999999994</v>
      </c>
      <c r="L34" s="603">
        <f t="shared" si="26"/>
        <v>52.040000000000006</v>
      </c>
      <c r="R34" s="66">
        <f>+R32*0.85</f>
        <v>460.7</v>
      </c>
      <c r="S34" s="65">
        <f>S33</f>
        <v>261.24</v>
      </c>
      <c r="T34" s="603">
        <f>+R34-S34</f>
        <v>199.45999999999998</v>
      </c>
      <c r="V34" s="66">
        <f>+V32*0.85</f>
        <v>263.5</v>
      </c>
      <c r="W34" s="65">
        <f t="shared" ref="W34:W36" si="31">W33</f>
        <v>155.94999999999999</v>
      </c>
      <c r="X34" s="603">
        <f t="shared" si="27"/>
        <v>107.55000000000001</v>
      </c>
    </row>
    <row r="35" spans="1:24" x14ac:dyDescent="0.25">
      <c r="A35" s="598">
        <v>0.2</v>
      </c>
      <c r="B35" s="66">
        <f>0.8*B32</f>
        <v>300.8</v>
      </c>
      <c r="C35" s="65">
        <f t="shared" si="28"/>
        <v>235.62</v>
      </c>
      <c r="D35" s="603">
        <f t="shared" si="24"/>
        <v>65.180000000000007</v>
      </c>
      <c r="F35" s="66">
        <f>0.8*F32</f>
        <v>172</v>
      </c>
      <c r="G35" s="65">
        <f t="shared" si="29"/>
        <v>134.63999999999999</v>
      </c>
      <c r="H35" s="604">
        <f t="shared" si="25"/>
        <v>37.360000000000014</v>
      </c>
      <c r="J35" s="66">
        <f>0.8*J32</f>
        <v>120</v>
      </c>
      <c r="K35" s="65">
        <f t="shared" si="30"/>
        <v>75.459999999999994</v>
      </c>
      <c r="L35" s="604">
        <f t="shared" si="26"/>
        <v>44.540000000000006</v>
      </c>
      <c r="R35" s="66">
        <f>0.8*R32</f>
        <v>433.6</v>
      </c>
      <c r="S35" s="65">
        <f>S34</f>
        <v>261.24</v>
      </c>
      <c r="T35" s="604">
        <f>+R35-S35</f>
        <v>172.36</v>
      </c>
      <c r="V35" s="66">
        <f>0.8*V32</f>
        <v>248</v>
      </c>
      <c r="W35" s="65">
        <f t="shared" si="31"/>
        <v>155.94999999999999</v>
      </c>
      <c r="X35" s="604">
        <f t="shared" si="27"/>
        <v>92.050000000000011</v>
      </c>
    </row>
    <row r="36" spans="1:24" x14ac:dyDescent="0.25">
      <c r="A36" s="598">
        <v>0.25</v>
      </c>
      <c r="B36" s="66">
        <f>0.75*B32</f>
        <v>282</v>
      </c>
      <c r="C36" s="65">
        <f t="shared" si="28"/>
        <v>235.62</v>
      </c>
      <c r="D36" s="603">
        <f t="shared" si="24"/>
        <v>46.379999999999995</v>
      </c>
      <c r="F36" s="66">
        <f>0.75*F32</f>
        <v>161.25</v>
      </c>
      <c r="G36" s="65">
        <f t="shared" si="29"/>
        <v>134.63999999999999</v>
      </c>
      <c r="H36" s="604">
        <f t="shared" si="25"/>
        <v>26.610000000000014</v>
      </c>
      <c r="J36" s="66">
        <f>0.75*J32</f>
        <v>112.5</v>
      </c>
      <c r="K36" s="65">
        <f t="shared" si="30"/>
        <v>75.459999999999994</v>
      </c>
      <c r="L36" s="604">
        <f t="shared" si="26"/>
        <v>37.040000000000006</v>
      </c>
      <c r="R36" s="66">
        <f>0.75*R32</f>
        <v>406.5</v>
      </c>
      <c r="S36" s="65">
        <f>S35</f>
        <v>261.24</v>
      </c>
      <c r="T36" s="604">
        <f>+R36-S36</f>
        <v>145.26</v>
      </c>
      <c r="V36" s="66">
        <f>0.75*V32</f>
        <v>232.5</v>
      </c>
      <c r="W36" s="65">
        <f t="shared" si="31"/>
        <v>155.94999999999999</v>
      </c>
      <c r="X36" s="604">
        <f t="shared" si="27"/>
        <v>76.550000000000011</v>
      </c>
    </row>
    <row r="37" spans="1:24" s="379" customFormat="1" x14ac:dyDescent="0.25">
      <c r="D37" s="629"/>
    </row>
    <row r="38" spans="1:24" s="379" customFormat="1" x14ac:dyDescent="0.25">
      <c r="D38" s="629"/>
    </row>
    <row r="41" spans="1:24" x14ac:dyDescent="0.25">
      <c r="A41" t="s">
        <v>410</v>
      </c>
    </row>
    <row r="42" spans="1:24" x14ac:dyDescent="0.25">
      <c r="A42" t="s">
        <v>411</v>
      </c>
      <c r="B42" s="598">
        <v>0.15</v>
      </c>
    </row>
    <row r="43" spans="1:24" x14ac:dyDescent="0.25">
      <c r="A43" t="s">
        <v>412</v>
      </c>
      <c r="B43" s="598">
        <v>0</v>
      </c>
    </row>
    <row r="44" spans="1:24" x14ac:dyDescent="0.25">
      <c r="A44" t="s">
        <v>413</v>
      </c>
      <c r="B44" s="598">
        <v>0.2</v>
      </c>
    </row>
    <row r="45" spans="1:24" x14ac:dyDescent="0.25">
      <c r="A45" t="s">
        <v>111</v>
      </c>
      <c r="B45" s="631">
        <v>0</v>
      </c>
    </row>
    <row r="46" spans="1:24" x14ac:dyDescent="0.25">
      <c r="A46" t="s">
        <v>414</v>
      </c>
      <c r="B46" s="631">
        <v>0.1</v>
      </c>
    </row>
    <row r="47" spans="1:24" x14ac:dyDescent="0.25">
      <c r="A47" t="s">
        <v>415</v>
      </c>
      <c r="B47" s="598">
        <v>0.2</v>
      </c>
    </row>
    <row r="48" spans="1:24" x14ac:dyDescent="0.25">
      <c r="A48" t="s">
        <v>416</v>
      </c>
      <c r="B48" s="631">
        <v>0</v>
      </c>
    </row>
    <row r="49" spans="1:2" x14ac:dyDescent="0.25">
      <c r="A49" t="s">
        <v>417</v>
      </c>
      <c r="B49" s="598">
        <v>0.25</v>
      </c>
    </row>
    <row r="50" spans="1:2" x14ac:dyDescent="0.25">
      <c r="A50" t="s">
        <v>418</v>
      </c>
      <c r="B50" s="598">
        <v>0.2</v>
      </c>
    </row>
    <row r="51" spans="1:2" x14ac:dyDescent="0.25">
      <c r="A51" t="s">
        <v>419</v>
      </c>
      <c r="B51" s="598">
        <v>0.25</v>
      </c>
    </row>
    <row r="52" spans="1:2" x14ac:dyDescent="0.25">
      <c r="A52" t="s">
        <v>420</v>
      </c>
      <c r="B52" s="598">
        <v>0.25</v>
      </c>
    </row>
  </sheetData>
  <pageMargins left="0.7" right="0.7" top="0.75" bottom="0.75" header="0.3" footer="0.3"/>
  <pageSetup scale="58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98F28-5E8F-4E87-B0B5-B33F062D5C4F}">
  <sheetPr codeName="Sheet31"/>
  <dimension ref="A1:F75"/>
  <sheetViews>
    <sheetView workbookViewId="0">
      <selection activeCell="A26" sqref="A26"/>
    </sheetView>
  </sheetViews>
  <sheetFormatPr defaultColWidth="11.25" defaultRowHeight="15.75" x14ac:dyDescent="0.25"/>
  <cols>
    <col min="1" max="1" width="24.5" style="1" customWidth="1"/>
    <col min="2" max="2" width="20.5" style="1" bestFit="1" customWidth="1"/>
    <col min="3" max="3" width="18.5" style="1" bestFit="1" customWidth="1"/>
    <col min="4" max="4" width="24.375" style="1" bestFit="1" customWidth="1"/>
    <col min="5" max="5" width="21.25" customWidth="1"/>
    <col min="6" max="6" width="18.25" bestFit="1" customWidth="1"/>
    <col min="7" max="7" width="14.75" customWidth="1"/>
    <col min="8" max="9" width="30.5" customWidth="1"/>
  </cols>
  <sheetData>
    <row r="1" spans="1:6" ht="31.5" x14ac:dyDescent="0.25">
      <c r="A1" s="17" t="s">
        <v>0</v>
      </c>
      <c r="B1" s="17" t="s">
        <v>133</v>
      </c>
      <c r="C1" s="17" t="s">
        <v>134</v>
      </c>
      <c r="D1" s="43" t="s">
        <v>194</v>
      </c>
      <c r="E1" s="17" t="s">
        <v>135</v>
      </c>
      <c r="F1" s="17" t="s">
        <v>136</v>
      </c>
    </row>
    <row r="2" spans="1:6" x14ac:dyDescent="0.25">
      <c r="A2" s="1" t="s">
        <v>39</v>
      </c>
      <c r="B2" s="2" t="s">
        <v>137</v>
      </c>
      <c r="C2" s="2"/>
      <c r="D2" s="1" t="s">
        <v>137</v>
      </c>
      <c r="E2" s="1"/>
      <c r="F2" s="1" t="s">
        <v>138</v>
      </c>
    </row>
    <row r="3" spans="1:6" x14ac:dyDescent="0.25">
      <c r="A3" s="1" t="s">
        <v>31</v>
      </c>
      <c r="B3" s="2" t="s">
        <v>137</v>
      </c>
      <c r="C3" s="2"/>
      <c r="D3" s="1" t="s">
        <v>137</v>
      </c>
      <c r="E3" s="1"/>
      <c r="F3" s="1" t="s">
        <v>138</v>
      </c>
    </row>
    <row r="4" spans="1:6" x14ac:dyDescent="0.25">
      <c r="A4" s="1" t="s">
        <v>42</v>
      </c>
      <c r="B4" s="2" t="s">
        <v>137</v>
      </c>
      <c r="C4" s="2"/>
      <c r="D4" s="70"/>
      <c r="E4" s="1"/>
      <c r="F4" s="1" t="s">
        <v>138</v>
      </c>
    </row>
    <row r="5" spans="1:6" x14ac:dyDescent="0.25">
      <c r="A5" s="1" t="s">
        <v>10</v>
      </c>
      <c r="B5" s="2" t="s">
        <v>137</v>
      </c>
      <c r="C5" s="2"/>
      <c r="D5" s="1" t="s">
        <v>137</v>
      </c>
      <c r="E5" s="1"/>
      <c r="F5" s="1" t="s">
        <v>138</v>
      </c>
    </row>
    <row r="6" spans="1:6" x14ac:dyDescent="0.25">
      <c r="A6" s="1" t="s">
        <v>111</v>
      </c>
      <c r="B6" s="2" t="s">
        <v>137</v>
      </c>
      <c r="C6" s="2"/>
      <c r="D6" s="1" t="s">
        <v>137</v>
      </c>
      <c r="E6" s="1"/>
      <c r="F6" s="1" t="s">
        <v>138</v>
      </c>
    </row>
    <row r="7" spans="1:6" ht="18" customHeight="1" x14ac:dyDescent="0.25">
      <c r="A7" s="1" t="s">
        <v>14</v>
      </c>
      <c r="B7" s="2"/>
      <c r="C7" s="2"/>
      <c r="D7" s="1" t="s">
        <v>137</v>
      </c>
      <c r="E7" s="1"/>
      <c r="F7" s="1" t="s">
        <v>138</v>
      </c>
    </row>
    <row r="8" spans="1:6" x14ac:dyDescent="0.25">
      <c r="A8" s="1" t="s">
        <v>57</v>
      </c>
      <c r="B8" s="2"/>
      <c r="C8" s="2"/>
      <c r="D8" s="1" t="s">
        <v>137</v>
      </c>
      <c r="E8" s="1"/>
      <c r="F8" s="1" t="s">
        <v>138</v>
      </c>
    </row>
    <row r="9" spans="1:6" ht="22.15" customHeight="1" x14ac:dyDescent="0.25">
      <c r="A9" s="1" t="s">
        <v>56</v>
      </c>
      <c r="B9" s="2" t="s">
        <v>137</v>
      </c>
      <c r="C9" s="2"/>
      <c r="D9" s="1" t="s">
        <v>137</v>
      </c>
      <c r="E9" s="1"/>
      <c r="F9" s="1" t="s">
        <v>138</v>
      </c>
    </row>
    <row r="10" spans="1:6" x14ac:dyDescent="0.25">
      <c r="A10" s="1" t="s">
        <v>17</v>
      </c>
      <c r="B10" s="2"/>
      <c r="C10" s="2"/>
      <c r="D10" s="1" t="s">
        <v>137</v>
      </c>
      <c r="E10" s="1"/>
      <c r="F10" s="1" t="s">
        <v>138</v>
      </c>
    </row>
    <row r="11" spans="1:6" x14ac:dyDescent="0.25">
      <c r="A11" s="1" t="s">
        <v>22</v>
      </c>
      <c r="B11" s="2" t="s">
        <v>137</v>
      </c>
      <c r="C11" s="2"/>
      <c r="D11" s="1" t="s">
        <v>137</v>
      </c>
      <c r="E11" s="1"/>
      <c r="F11" s="1" t="s">
        <v>138</v>
      </c>
    </row>
    <row r="12" spans="1:6" ht="25.9" customHeight="1" x14ac:dyDescent="0.25">
      <c r="A12" s="1" t="s">
        <v>1</v>
      </c>
      <c r="B12" s="2"/>
      <c r="C12" s="2"/>
      <c r="E12" s="1"/>
      <c r="F12" s="1"/>
    </row>
    <row r="13" spans="1:6" x14ac:dyDescent="0.25">
      <c r="A13" s="1" t="s">
        <v>25</v>
      </c>
      <c r="B13" s="2"/>
      <c r="C13" s="2"/>
      <c r="E13" s="1"/>
      <c r="F13" s="1"/>
    </row>
    <row r="14" spans="1:6" x14ac:dyDescent="0.25">
      <c r="A14" s="1" t="s">
        <v>38</v>
      </c>
      <c r="B14" s="2"/>
      <c r="C14" s="2"/>
      <c r="E14" s="1"/>
      <c r="F14" s="1"/>
    </row>
    <row r="15" spans="1:6" x14ac:dyDescent="0.25">
      <c r="A15" s="1" t="s">
        <v>23</v>
      </c>
      <c r="B15" s="2"/>
      <c r="C15" s="2"/>
      <c r="D15" s="1" t="s">
        <v>137</v>
      </c>
      <c r="E15" s="1"/>
      <c r="F15" s="1" t="s">
        <v>138</v>
      </c>
    </row>
    <row r="16" spans="1:6" x14ac:dyDescent="0.25">
      <c r="A16" s="1" t="s">
        <v>27</v>
      </c>
      <c r="B16" s="2"/>
      <c r="C16" s="2"/>
      <c r="D16" s="1" t="s">
        <v>137</v>
      </c>
      <c r="E16" s="1"/>
      <c r="F16" s="1" t="s">
        <v>138</v>
      </c>
    </row>
    <row r="17" spans="1:6" x14ac:dyDescent="0.25">
      <c r="A17" s="1" t="s">
        <v>28</v>
      </c>
      <c r="B17" s="2"/>
      <c r="C17" s="2"/>
      <c r="E17" s="1"/>
      <c r="F17" s="1"/>
    </row>
    <row r="18" spans="1:6" x14ac:dyDescent="0.25">
      <c r="A18" s="1" t="s">
        <v>29</v>
      </c>
      <c r="B18" s="2"/>
      <c r="C18" s="2"/>
      <c r="E18" s="1"/>
      <c r="F18" s="1"/>
    </row>
    <row r="19" spans="1:6" x14ac:dyDescent="0.25">
      <c r="A19" s="1" t="s">
        <v>33</v>
      </c>
      <c r="B19" s="2"/>
      <c r="C19" s="2"/>
      <c r="E19" s="1"/>
      <c r="F19" s="1"/>
    </row>
    <row r="20" spans="1:6" x14ac:dyDescent="0.25">
      <c r="A20" s="1" t="s">
        <v>54</v>
      </c>
      <c r="B20" s="2"/>
      <c r="C20" s="2"/>
      <c r="E20" s="1"/>
      <c r="F20" s="1"/>
    </row>
    <row r="21" spans="1:6" ht="22.15" customHeight="1" x14ac:dyDescent="0.25">
      <c r="A21" s="1" t="s">
        <v>5</v>
      </c>
      <c r="B21" s="2"/>
      <c r="C21" s="2"/>
      <c r="E21" s="1"/>
      <c r="F21" s="1"/>
    </row>
    <row r="22" spans="1:6" ht="22.15" customHeight="1" x14ac:dyDescent="0.25">
      <c r="A22" s="1" t="s">
        <v>6</v>
      </c>
      <c r="B22" s="2" t="s">
        <v>137</v>
      </c>
      <c r="C22" s="2"/>
      <c r="D22" s="1" t="s">
        <v>137</v>
      </c>
      <c r="E22" s="1"/>
      <c r="F22" s="1" t="s">
        <v>138</v>
      </c>
    </row>
    <row r="23" spans="1:6" ht="22.15" customHeight="1" x14ac:dyDescent="0.25">
      <c r="A23" s="1" t="s">
        <v>52</v>
      </c>
      <c r="B23" s="2"/>
      <c r="C23" s="2"/>
      <c r="E23" s="1"/>
      <c r="F23" s="1"/>
    </row>
    <row r="24" spans="1:6" x14ac:dyDescent="0.25">
      <c r="A24" s="1" t="s">
        <v>30</v>
      </c>
      <c r="B24" s="2" t="s">
        <v>137</v>
      </c>
      <c r="C24" s="2"/>
      <c r="E24" s="1"/>
      <c r="F24" s="1"/>
    </row>
    <row r="25" spans="1:6" x14ac:dyDescent="0.25">
      <c r="A25" s="1" t="s">
        <v>32</v>
      </c>
      <c r="B25" s="2" t="s">
        <v>137</v>
      </c>
      <c r="C25" s="2"/>
      <c r="E25" s="1"/>
      <c r="F25" s="1"/>
    </row>
    <row r="26" spans="1:6" x14ac:dyDescent="0.25">
      <c r="A26" s="1" t="s">
        <v>40</v>
      </c>
      <c r="B26" s="2"/>
      <c r="C26" s="2"/>
      <c r="E26" s="1"/>
      <c r="F26" s="1"/>
    </row>
    <row r="27" spans="1:6" x14ac:dyDescent="0.25">
      <c r="A27" s="1" t="s">
        <v>41</v>
      </c>
      <c r="B27" s="2"/>
      <c r="C27" s="2"/>
      <c r="E27" s="1"/>
      <c r="F27" s="1"/>
    </row>
    <row r="28" spans="1:6" x14ac:dyDescent="0.25">
      <c r="A28" s="1" t="s">
        <v>43</v>
      </c>
      <c r="B28" s="2"/>
      <c r="C28" s="2"/>
      <c r="E28" s="1"/>
      <c r="F28" s="1"/>
    </row>
    <row r="29" spans="1:6" x14ac:dyDescent="0.25">
      <c r="A29" s="1" t="s">
        <v>44</v>
      </c>
      <c r="B29" s="2"/>
      <c r="C29" s="2"/>
      <c r="E29" s="1"/>
      <c r="F29" s="1"/>
    </row>
    <row r="30" spans="1:6" x14ac:dyDescent="0.25">
      <c r="A30" s="1" t="s">
        <v>11</v>
      </c>
      <c r="B30" s="2"/>
      <c r="C30" s="2"/>
      <c r="E30" s="1"/>
      <c r="F30" s="1"/>
    </row>
    <row r="31" spans="1:6" x14ac:dyDescent="0.25">
      <c r="A31" s="1" t="s">
        <v>12</v>
      </c>
      <c r="B31" s="2"/>
      <c r="C31" s="2"/>
      <c r="E31" s="1"/>
      <c r="F31" s="1"/>
    </row>
    <row r="32" spans="1:6" x14ac:dyDescent="0.25">
      <c r="A32" s="1" t="s">
        <v>13</v>
      </c>
      <c r="B32" s="2"/>
      <c r="C32" s="2"/>
      <c r="E32" s="1"/>
      <c r="F32" s="1"/>
    </row>
    <row r="33" spans="1:6" ht="22.15" customHeight="1" x14ac:dyDescent="0.25">
      <c r="A33" s="1" t="s">
        <v>9</v>
      </c>
      <c r="B33" s="2"/>
      <c r="C33" s="2"/>
      <c r="E33" s="1"/>
      <c r="F33" s="1"/>
    </row>
    <row r="34" spans="1:6" x14ac:dyDescent="0.25">
      <c r="A34" s="1" t="s">
        <v>15</v>
      </c>
      <c r="B34" s="2"/>
      <c r="C34" s="2"/>
      <c r="E34" s="1"/>
      <c r="F34" s="1"/>
    </row>
    <row r="35" spans="1:6" x14ac:dyDescent="0.25">
      <c r="A35" s="1" t="s">
        <v>16</v>
      </c>
      <c r="B35" s="2"/>
      <c r="C35" s="2"/>
      <c r="E35" s="1"/>
      <c r="F35" s="1"/>
    </row>
    <row r="36" spans="1:6" x14ac:dyDescent="0.25">
      <c r="A36" s="1" t="s">
        <v>18</v>
      </c>
      <c r="B36" s="2"/>
      <c r="C36" s="2"/>
      <c r="E36" s="1"/>
      <c r="F36" s="1"/>
    </row>
    <row r="37" spans="1:6" x14ac:dyDescent="0.25">
      <c r="A37" s="1" t="s">
        <v>19</v>
      </c>
      <c r="B37" s="2"/>
      <c r="C37" s="2"/>
      <c r="E37" s="1"/>
      <c r="F37" s="1"/>
    </row>
    <row r="38" spans="1:6" x14ac:dyDescent="0.25">
      <c r="A38" s="1" t="s">
        <v>20</v>
      </c>
      <c r="B38" s="2"/>
      <c r="C38" s="2"/>
      <c r="E38" s="1"/>
      <c r="F38" s="1"/>
    </row>
    <row r="39" spans="1:6" x14ac:dyDescent="0.25">
      <c r="A39" s="1" t="s">
        <v>55</v>
      </c>
      <c r="B39" s="2"/>
      <c r="C39" s="2"/>
      <c r="E39" s="1"/>
      <c r="F39" s="1"/>
    </row>
    <row r="40" spans="1:6" x14ac:dyDescent="0.25">
      <c r="A40" s="1" t="s">
        <v>21</v>
      </c>
      <c r="B40" s="2"/>
      <c r="C40" s="2"/>
      <c r="E40" s="1"/>
      <c r="F40" s="1"/>
    </row>
    <row r="41" spans="1:6" ht="22.15" customHeight="1" x14ac:dyDescent="0.25">
      <c r="A41" s="1" t="s">
        <v>3</v>
      </c>
      <c r="B41" s="2"/>
      <c r="C41" s="2"/>
      <c r="E41" s="1"/>
      <c r="F41" s="1"/>
    </row>
    <row r="42" spans="1:6" ht="24" customHeight="1" x14ac:dyDescent="0.25">
      <c r="A42" s="1" t="s">
        <v>4</v>
      </c>
      <c r="B42" s="2"/>
      <c r="C42" s="2"/>
      <c r="E42" s="1"/>
      <c r="F42" s="1"/>
    </row>
    <row r="43" spans="1:6" ht="22.15" customHeight="1" x14ac:dyDescent="0.25">
      <c r="A43" s="1" t="s">
        <v>7</v>
      </c>
      <c r="B43" s="2"/>
      <c r="C43" s="2"/>
      <c r="E43" s="1"/>
      <c r="F43" s="1"/>
    </row>
    <row r="44" spans="1:6" ht="16.899999999999999" customHeight="1" x14ac:dyDescent="0.25">
      <c r="A44" s="1" t="s">
        <v>8</v>
      </c>
      <c r="B44" s="2"/>
      <c r="C44" s="2"/>
      <c r="E44" s="1"/>
      <c r="F44" s="1"/>
    </row>
    <row r="45" spans="1:6" x14ac:dyDescent="0.25">
      <c r="A45" s="1" t="s">
        <v>24</v>
      </c>
      <c r="B45" s="2"/>
      <c r="C45" s="2"/>
      <c r="E45" s="1"/>
      <c r="F45" s="1"/>
    </row>
    <row r="46" spans="1:6" x14ac:dyDescent="0.25">
      <c r="A46" s="1" t="s">
        <v>26</v>
      </c>
      <c r="B46" s="2"/>
      <c r="C46" s="2"/>
      <c r="E46" s="1"/>
      <c r="F46" s="1"/>
    </row>
    <row r="47" spans="1:6" x14ac:dyDescent="0.25">
      <c r="A47" s="1" t="s">
        <v>34</v>
      </c>
      <c r="B47" s="2"/>
      <c r="C47" s="2"/>
      <c r="E47" s="1"/>
      <c r="F47" s="1"/>
    </row>
    <row r="48" spans="1:6" x14ac:dyDescent="0.25">
      <c r="A48" s="1" t="s">
        <v>35</v>
      </c>
      <c r="B48" s="2"/>
      <c r="C48" s="2"/>
      <c r="E48" s="1"/>
      <c r="F48" s="1"/>
    </row>
    <row r="49" spans="1:6" x14ac:dyDescent="0.25">
      <c r="A49" s="1" t="s">
        <v>53</v>
      </c>
      <c r="B49" s="2"/>
      <c r="C49" s="2"/>
      <c r="E49" s="1"/>
      <c r="F49" s="1"/>
    </row>
    <row r="50" spans="1:6" x14ac:dyDescent="0.25">
      <c r="A50" s="1" t="s">
        <v>45</v>
      </c>
      <c r="B50" s="2"/>
      <c r="C50" s="2"/>
      <c r="E50" s="1"/>
      <c r="F50" s="1"/>
    </row>
    <row r="51" spans="1:6" x14ac:dyDescent="0.25">
      <c r="A51" s="1" t="s">
        <v>36</v>
      </c>
      <c r="B51" s="2" t="s">
        <v>139</v>
      </c>
      <c r="C51" s="2"/>
      <c r="E51" s="1"/>
      <c r="F51" s="1"/>
    </row>
    <row r="52" spans="1:6" x14ac:dyDescent="0.25">
      <c r="A52" s="1" t="s">
        <v>37</v>
      </c>
      <c r="B52" s="2" t="s">
        <v>139</v>
      </c>
      <c r="C52" s="2"/>
      <c r="E52" s="1"/>
      <c r="F52" s="1"/>
    </row>
    <row r="53" spans="1:6" ht="22.9" customHeight="1" x14ac:dyDescent="0.25">
      <c r="A53" s="1" t="s">
        <v>2</v>
      </c>
      <c r="B53" s="2" t="s">
        <v>139</v>
      </c>
      <c r="C53" s="2" t="s">
        <v>139</v>
      </c>
      <c r="D53" s="2" t="s">
        <v>139</v>
      </c>
      <c r="E53" s="1"/>
      <c r="F53" s="1"/>
    </row>
    <row r="63" spans="1:6" x14ac:dyDescent="0.25">
      <c r="B63" s="3"/>
      <c r="C63" s="3"/>
    </row>
    <row r="64" spans="1:6" x14ac:dyDescent="0.25">
      <c r="D64" s="3"/>
    </row>
    <row r="67" spans="1:4" x14ac:dyDescent="0.25">
      <c r="A67" s="8" t="s">
        <v>46</v>
      </c>
      <c r="B67" s="8" t="s">
        <v>136</v>
      </c>
      <c r="C67" s="8" t="s">
        <v>140</v>
      </c>
    </row>
    <row r="68" spans="1:4" x14ac:dyDescent="0.25">
      <c r="A68" s="7" t="s">
        <v>47</v>
      </c>
      <c r="B68" s="5"/>
      <c r="C68" s="11"/>
      <c r="D68"/>
    </row>
    <row r="69" spans="1:4" x14ac:dyDescent="0.25">
      <c r="A69" s="4" t="s">
        <v>48</v>
      </c>
      <c r="B69" s="6"/>
      <c r="C69" s="11"/>
      <c r="D69"/>
    </row>
    <row r="70" spans="1:4" x14ac:dyDescent="0.25">
      <c r="A70" s="7" t="s">
        <v>49</v>
      </c>
      <c r="B70" s="5"/>
      <c r="C70" s="11"/>
      <c r="D70"/>
    </row>
    <row r="71" spans="1:4" x14ac:dyDescent="0.25">
      <c r="A71" s="4" t="s">
        <v>50</v>
      </c>
      <c r="B71" s="6"/>
      <c r="C71" s="11"/>
      <c r="D71"/>
    </row>
    <row r="72" spans="1:4" x14ac:dyDescent="0.25">
      <c r="A72" s="7" t="s">
        <v>51</v>
      </c>
      <c r="B72" s="5"/>
      <c r="C72" s="11"/>
      <c r="D72"/>
    </row>
    <row r="73" spans="1:4" x14ac:dyDescent="0.25">
      <c r="A73" s="4" t="s">
        <v>15</v>
      </c>
      <c r="B73" s="6"/>
      <c r="C73" s="11"/>
      <c r="D73"/>
    </row>
    <row r="74" spans="1:4" x14ac:dyDescent="0.25">
      <c r="A74" s="9" t="s">
        <v>6</v>
      </c>
      <c r="B74" s="10"/>
      <c r="C74" s="11"/>
      <c r="D74"/>
    </row>
    <row r="75" spans="1:4" x14ac:dyDescent="0.25">
      <c r="D75"/>
    </row>
  </sheetData>
  <sheetProtection algorithmName="SHA-512" hashValue="ox5PVobLhim10exmUpTaNwer3XNTdmCX2QVugw4EeryftfmaCg0Jgpoo+N/bL7SH+pIK2wZg66i2UKXbapk4og==" saltValue="TIw/U51WoUue4xrvPYFxuw==" spinCount="100000" sheet="1" objects="1" scenarios="1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18</vt:i4>
      </vt:variant>
    </vt:vector>
  </HeadingPairs>
  <TitlesOfParts>
    <vt:vector size="49" baseType="lpstr">
      <vt:lpstr>Patient Prices</vt:lpstr>
      <vt:lpstr>Pep Costs</vt:lpstr>
      <vt:lpstr>FAQ</vt:lpstr>
      <vt:lpstr>Whats it for</vt:lpstr>
      <vt:lpstr>COSTS</vt:lpstr>
      <vt:lpstr>GLP-3Re</vt:lpstr>
      <vt:lpstr>BPC+TB500</vt:lpstr>
      <vt:lpstr>Wolv Slow Tit</vt:lpstr>
      <vt:lpstr>Wolv Maintenance</vt:lpstr>
      <vt:lpstr>ARA290</vt:lpstr>
      <vt:lpstr>BPC157</vt:lpstr>
      <vt:lpstr>DSIP 5mg</vt:lpstr>
      <vt:lpstr>DSIP 10mg</vt:lpstr>
      <vt:lpstr>Epithalon</vt:lpstr>
      <vt:lpstr>GHK-CU 50</vt:lpstr>
      <vt:lpstr>Glow 70</vt:lpstr>
      <vt:lpstr>Kissp</vt:lpstr>
      <vt:lpstr>KLOW 80</vt:lpstr>
      <vt:lpstr>MotsC 10</vt:lpstr>
      <vt:lpstr>NAD+ Acute</vt:lpstr>
      <vt:lpstr>NAD semiAct</vt:lpstr>
      <vt:lpstr>PT-141 10mg</vt:lpstr>
      <vt:lpstr>Tesam 10</vt:lpstr>
      <vt:lpstr>Keith Tesa</vt:lpstr>
      <vt:lpstr>Tirz 30mg</vt:lpstr>
      <vt:lpstr>Burkman SLOW</vt:lpstr>
      <vt:lpstr>TRZ DOWN</vt:lpstr>
      <vt:lpstr>NAD 700</vt:lpstr>
      <vt:lpstr>SS-31</vt:lpstr>
      <vt:lpstr>Discount</vt:lpstr>
      <vt:lpstr>Marketing</vt:lpstr>
      <vt:lpstr>'ARA290'!Print_Area</vt:lpstr>
      <vt:lpstr>'BPC+TB500'!Print_Area</vt:lpstr>
      <vt:lpstr>Discount!Print_Area</vt:lpstr>
      <vt:lpstr>'DSIP 10mg'!Print_Area</vt:lpstr>
      <vt:lpstr>'DSIP 5mg'!Print_Area</vt:lpstr>
      <vt:lpstr>'GHK-CU 50'!Print_Area</vt:lpstr>
      <vt:lpstr>'Glow 70'!Print_Area</vt:lpstr>
      <vt:lpstr>Kissp!Print_Area</vt:lpstr>
      <vt:lpstr>'KLOW 80'!Print_Area</vt:lpstr>
      <vt:lpstr>'MotsC 10'!Print_Area</vt:lpstr>
      <vt:lpstr>'NAD semiAct'!Print_Area</vt:lpstr>
      <vt:lpstr>'NAD+ Acute'!Print_Area</vt:lpstr>
      <vt:lpstr>'Pep Costs'!Print_Area</vt:lpstr>
      <vt:lpstr>'PT-141 10mg'!Print_Area</vt:lpstr>
      <vt:lpstr>'Tesam 10'!Print_Area</vt:lpstr>
      <vt:lpstr>'Tirz 30mg'!Print_Area</vt:lpstr>
      <vt:lpstr>'Wolv Maintenance'!Print_Area</vt:lpstr>
      <vt:lpstr>'Wolv Slow Tit'!Print_Area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Tairin Phelan</dc:creator>
  <cp:keywords/>
  <dc:description/>
  <cp:lastModifiedBy>Keith Piccininno</cp:lastModifiedBy>
  <cp:revision/>
  <cp:lastPrinted>2026-04-26T14:40:11Z</cp:lastPrinted>
  <dcterms:created xsi:type="dcterms:W3CDTF">2025-09-28T02:49:08Z</dcterms:created>
  <dcterms:modified xsi:type="dcterms:W3CDTF">2026-04-30T17:10:23Z</dcterms:modified>
  <cp:category/>
  <cp:contentStatus/>
</cp:coreProperties>
</file>